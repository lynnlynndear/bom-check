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fb8623e22e4e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当前版本&amp;优化点" sheetId="1" r:id="R2fb4fd7a576e42eb"/>
    <x:sheet xmlns:r="http://schemas.openxmlformats.org/officeDocument/2006/relationships" name="02 信息架构" sheetId="2" r:id="R53fbf1a524464038"/>
    <x:sheet xmlns:r="http://schemas.openxmlformats.org/officeDocument/2006/relationships" name="03 看板原型" sheetId="3" r:id="Rd27df0578b444331"/>
    <x:sheet xmlns:r="http://schemas.openxmlformats.org/officeDocument/2006/relationships" name="04 上传中心原型" sheetId="4" r:id="R2baeb09f0381476a"/>
    <x:sheet xmlns:r="http://schemas.openxmlformats.org/officeDocument/2006/relationships" name="05 核算&amp;版本对比" sheetId="5" r:id="R40e86311bbb14fd6"/>
    <x:sheet xmlns:r="http://schemas.openxmlformats.org/officeDocument/2006/relationships" name="06 数据字典" sheetId="6" r:id="R93a270107a6241c2"/>
    <x:sheet xmlns:r="http://schemas.openxmlformats.org/officeDocument/2006/relationships" name="07 规则&amp;验收" sheetId="7" r:id="R21648aaaab104b61"/>
    <x:sheet xmlns:r="http://schemas.openxmlformats.org/officeDocument/2006/relationships" name="08 MVP开发拆分" sheetId="8" r:id="R1013e0f40f5245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¥#,##0.00"/>
    <x:numFmt numFmtId="201" formatCode="0.0%"/>
  </x:numFmts>
  <x:fonts count="7">
    <x:font>
      <x:sz val="11"/>
      <x:name val="Carlito"/>
    </x:font>
    <x:font>
      <x:sz val="10"/>
      <x:color rgb="25313F"/>
      <x:name val="Microsoft YaHei"/>
    </x:font>
    <x:font>
      <x:b/>
      <x:sz val="16"/>
      <x:color rgb="FFFFFF"/>
      <x:name val="Microsoft YaHei"/>
    </x:font>
    <x:font>
      <x:sz val="10"/>
      <x:color rgb="4B5563"/>
      <x:name val="Microsoft YaHei"/>
    </x:font>
    <x:font>
      <x:b/>
      <x:sz val="11"/>
      <x:color rgb="1F3A5F"/>
      <x:name val="Carlito"/>
    </x:font>
    <x:font>
      <x:b/>
      <x:sz val="10"/>
      <x:color rgb="FFFFFF"/>
      <x:name val="Microsoft YaHei"/>
    </x:font>
    <x:font>
      <x:b/>
      <x:sz val="11"/>
      <x:color rgb="FFFFFF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1F3A5F"/>
      </x:patternFill>
    </x:fill>
    <x:fill>
      <x:patternFill patternType="solid">
        <x:fgColor rgb="F3F6FA"/>
      </x:patternFill>
    </x:fill>
    <x:fill>
      <x:patternFill patternType="solid">
        <x:fgColor rgb="EAF3FF"/>
      </x:patternFill>
    </x:fill>
    <x:fill>
      <x:patternFill patternType="solid">
        <x:fgColor rgb="FFFFFF"/>
      </x:patternFill>
    </x:fill>
    <x:fill>
      <x:patternFill patternType="solid">
        <x:fgColor rgb="00A3A3"/>
      </x:patternFill>
    </x:fill>
    <x:fill>
      <x:patternFill patternType="solid">
        <x:fgColor rgb="2F80ED"/>
      </x:patternFill>
    </x:fill>
    <x:fill>
      <x:patternFill patternType="solid">
        <x:fgColor rgb="C0392B"/>
      </x:patternFill>
    </x:fill>
  </x:fills>
  <x:borders count="2">
    <x:border/>
    <x:border>
      <x:left style="thin">
        <x:color rgb="D8DEE8"/>
      </x:left>
      <x:right style="thin">
        <x:color rgb="D8DEE8"/>
      </x:right>
      <x:top style="thin">
        <x:color rgb="D8DEE8"/>
      </x:top>
      <x:bottom style="thin">
        <x:color rgb="D8DEE8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vertical="center" wrapText="1"/>
    </x:xf>
    <x:xf numFmtId="201" fontId="0" fillId="5" borderId="1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b9816884f24db5" /><Relationship Type="http://schemas.openxmlformats.org/officeDocument/2006/relationships/theme" Target="/xl/theme/theme1.xml" Id="Rec2f759383844ac0" /><Relationship Type="http://schemas.openxmlformats.org/officeDocument/2006/relationships/sharedStrings" Target="/xl/sharedStrings.xml" Id="R83afe4ee4eb5401a" /><Relationship Type="http://schemas.openxmlformats.org/officeDocument/2006/relationships/worksheet" Target="/xl/worksheets/sheet1.xml" Id="R2fb4fd7a576e42eb" /><Relationship Type="http://schemas.openxmlformats.org/officeDocument/2006/relationships/worksheet" Target="/xl/worksheets/sheet2.xml" Id="R53fbf1a524464038" /><Relationship Type="http://schemas.openxmlformats.org/officeDocument/2006/relationships/worksheet" Target="/xl/worksheets/sheet3.xml" Id="Rd27df0578b444331" /><Relationship Type="http://schemas.openxmlformats.org/officeDocument/2006/relationships/worksheet" Target="/xl/worksheets/sheet4.xml" Id="R2baeb09f0381476a" /><Relationship Type="http://schemas.openxmlformats.org/officeDocument/2006/relationships/worksheet" Target="/xl/worksheets/sheet5.xml" Id="R40e86311bbb14fd6" /><Relationship Type="http://schemas.openxmlformats.org/officeDocument/2006/relationships/worksheet" Target="/xl/worksheets/sheet6.xml" Id="R93a270107a6241c2" /><Relationship Type="http://schemas.openxmlformats.org/officeDocument/2006/relationships/worksheet" Target="/xl/worksheets/sheet7.xml" Id="R21648aaaab104b61" /><Relationship Type="http://schemas.openxmlformats.org/officeDocument/2006/relationships/worksheet" Target="/xl/worksheets/sheet8.xml" Id="R1013e0f40f5245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3832bf395544185" /><Relationship Type="http://schemas.openxmlformats.org/officeDocument/2006/relationships/chart" Target="/xl/drawings/charts/chart2.xml" Id="Rca51f4f0392c417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产品总成本趋势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总成本</c:v>
          </c:tx>
          <c:cat>
            <c:strLit>
              <c:ptCount val="3"/>
              <c:pt idx="0">
                <c:v>V2026.03</c:v>
              </c:pt>
              <c:pt idx="1">
                <c:v>V2026.04</c:v>
              </c:pt>
              <c:pt idx="2">
                <c:v>V2026.05</c:v>
              </c:pt>
            </c:strLit>
          </c:cat>
          <c:val>
            <c:numLit>
              <c:formatCode/>
              <c:ptCount val="3"/>
              <c:pt idx="0">
                <c:v>119.8</c:v>
              </c:pt>
              <c:pt idx="1">
                <c:v>123.44</c:v>
              </c:pt>
              <c:pt idx="2">
                <c:v>128.86</c:v>
              </c:pt>
            </c:numLit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工段成本结构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当前成本</c:v>
          </c:tx>
          <c:cat>
            <c:strLit>
              <c:ptCount val="8"/>
              <c:pt idx="0">
                <c:v>充电底座</c:v>
              </c:pt>
              <c:pt idx="1">
                <c:v>PCBA</c:v>
              </c:pt>
              <c:pt idx="2">
                <c:v>电机</c:v>
              </c:pt>
              <c:pt idx="3">
                <c:v>外壳</c:v>
              </c:pt>
              <c:pt idx="4">
                <c:v>电池</c:v>
              </c:pt>
              <c:pt idx="5">
                <c:v>刷头</c:v>
              </c:pt>
              <c:pt idx="6">
                <c:v>包装</c:v>
              </c:pt>
              <c:pt idx="7">
                <c:v>尾盖</c:v>
              </c:pt>
            </c:strLit>
          </c:cat>
          <c:val>
            <c:numLit>
              <c:formatCode/>
              <c:ptCount val="8"/>
              <c:pt idx="0">
                <c:v>32.33</c:v>
              </c:pt>
              <c:pt idx="1">
                <c:v>26.99</c:v>
              </c:pt>
              <c:pt idx="2">
                <c:v>16.7</c:v>
              </c:pt>
              <c:pt idx="3">
                <c:v>16.53</c:v>
              </c:pt>
              <c:pt idx="4">
                <c:v>15.95</c:v>
              </c:pt>
              <c:pt idx="5">
                <c:v>11.2</c:v>
              </c:pt>
              <c:pt idx="6">
                <c:v>5.1</c:v>
              </c:pt>
              <c:pt idx="7">
                <c:v>4.06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17</xdr:row>
      <xdr:rowOff>0</xdr:rowOff>
    </xdr:from>
    <xdr:ext cx="3429000" cy="2095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832bf395544185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4000500" cy="2095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51f4f0392c417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9ce6bbc8794148a6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96" hidden="0" customHeight="1">
      <x:c r="A1" s="6" t="str">
        <x:v>ERP 产品成本管控系统 - 当前版本判断与5个优化点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15" hidden="0" customHeight="1">
      <x:c r="A2" s="10" t="str">
        <x:v>用于确认第一版开发边界、优先级和验收口径</x:v>
      </x:c>
    </x:row>
    <x:row r="3" ht="145.1999969482422" hidden="0" customHeight="1">
      <x:c r="A3" s="14" t="str">
        <x:v>当前版本判断：V0.1 需求/Excel 原型确认版。当前目录已有交付文档、使用说明、BOM 样例和单 SKU 成本测算样例；尚未看到 React/FastAPI/PostgreSQL 等正式系统代码。</x:v>
      </x:c>
    </x:row>
    <x:row r="4"/>
    <x:row r="5" ht="15" hidden="0" customHeight="1">
      <x:c r="A5" s="20" t="str">
        <x:v>维度</x:v>
      </x:c>
      <x:c r="B5" s="20" t="str">
        <x:v>当前已覆盖</x:v>
      </x:c>
      <x:c r="C5" s="20" t="str">
        <x:v>缺口/风险</x:v>
      </x:c>
      <x:c r="D5" s="20" t="str">
        <x:v>确认建议</x:v>
      </x:c>
    </x:row>
    <x:row r="6" ht="52.79999923706055" hidden="0" customHeight="1">
      <x:c r="A6" s="21" t="str">
        <x:v>产品阶段</x:v>
      </x:c>
      <x:c r="B6" s="21" t="str">
        <x:v>第一版范围、页面结构、规则文档已形成</x:v>
      </x:c>
      <x:c r="C6" s="21" t="str">
        <x:v>还不是可运行系统，数据库/接口/权限/任务状态未落地</x:v>
      </x:c>
      <x:c r="D6" s="21" t="str">
        <x:v>先按 MVP 系统版定义：本地上传 + 数据库存储 + 可复算</x:v>
      </x:c>
    </x:row>
    <x:row r="7" ht="52.79999923706055" hidden="0" customHeight="1">
      <x:c r="A7" s="21" t="str">
        <x:v>样例数据</x:v>
      </x:c>
      <x:c r="B7" s="21" t="str">
        <x:v>YS92 单 SKU BOM 296 条、末级 277 条；工段、用量、价格样例完整</x:v>
      </x:c>
      <x:c r="C7" s="21" t="str">
        <x:v>样例价格列仍是宽表/TB92 专用列，不利于多版本、多供应商</x:v>
      </x:c>
      <x:c r="D7" s="21" t="str">
        <x:v>改为标准价格表和委外费表，BOM 只保留结构字段</x:v>
      </x:c>
    </x:row>
    <x:row r="8" ht="39.599998474121094" hidden="0" customHeight="1">
      <x:c r="A8" s="21" t="str">
        <x:v>核算口径</x:v>
      </x:c>
      <x:c r="B8" s="21" t="str">
        <x:v>已定义末级物料核算、工段汇总、含税价、委外成本</x:v>
      </x:c>
      <x:c r="C8" s="21" t="str">
        <x:v>税率、币种、生效期、四舍五入口径还需固化</x:v>
      </x:c>
      <x:c r="D8" s="21" t="str">
        <x:v>定义金额精度、价格有效期和价格缺失是否阻断</x:v>
      </x:c>
    </x:row>
    <x:row r="9" ht="39.599998474121094" hidden="0" customHeight="1">
      <x:c r="A9" s="21" t="str">
        <x:v>版本对比</x:v>
      </x:c>
      <x:c r="B9" s="21" t="str">
        <x:v>已定义当前 vs 上一版、多版本对比和差异类型</x:v>
      </x:c>
      <x:c r="C9" s="21" t="str">
        <x:v>差异类型优先级和同一物料多原因拆分还未明确</x:v>
      </x:c>
      <x:c r="D9" s="21" t="str">
        <x:v>建立差异归因规则和人工确认字段</x:v>
      </x:c>
    </x:row>
    <x:row r="10" ht="66" hidden="0" customHeight="1">
      <x:c r="A10" s="21" t="str">
        <x:v>看板输出</x:v>
      </x:c>
      <x:c r="B10" s="21" t="str">
        <x:v>已定义总成本、差异、工段、趋势、缺失价格、导出</x:v>
      </x:c>
      <x:c r="C10" s="21" t="str">
        <x:v>财务和 BU 的关注口径不同，BU 字段第一版文档暂未纳入</x:v>
      </x:c>
      <x:c r="D10" s="21" t="str">
        <x:v>补充产品主数据/BU 维度，做角色化默认视图</x:v>
      </x:c>
    </x:row>
    <x:row r="11"/>
    <x:row r="12"/>
    <x:row r="13" ht="15" hidden="0" customHeight="1">
      <x:c r="A13" s="25" t="str">
        <x:v>优先优化5点</x:v>
      </x:c>
    </x:row>
    <x:row r="14" ht="15" hidden="0" customHeight="1">
      <x:c r="A14" s="28" t="str">
        <x:v>优先级</x:v>
      </x:c>
      <x:c r="B14" s="28" t="str">
        <x:v>优化点</x:v>
      </x:c>
      <x:c r="C14" s="28" t="str">
        <x:v>为什么需要</x:v>
      </x:c>
      <x:c r="D14" s="28" t="str">
        <x:v>第一版落地方式</x:v>
      </x:c>
      <x:c r="E14" s="28" t="str">
        <x:v>验收标准</x:v>
      </x:c>
    </x:row>
    <x:row r="15" ht="52.79999923706055" hidden="0" customHeight="1">
      <x:c r="A15" s="21" t="str">
        <x:v>P0</x:v>
      </x:c>
      <x:c r="B15" s="21" t="str">
        <x:v>版本主数据与快照机制</x:v>
      </x:c>
      <x:c r="C15" s="21" t="str">
        <x:v>成本版本是系统主线，必须可追溯、可复算</x:v>
      </x:c>
      <x:c r="D15" s="21" t="str">
        <x:v>cost_version 绑定 SKU、BOM批次、价格版本、委外版本、状态、上传人</x:v>
      </x:c>
      <x:c r="E15" s="21" t="str">
        <x:v>任一版本可回看当时 BOM、价格、委外费和核算结果</x:v>
      </x:c>
    </x:row>
    <x:row r="16" ht="52.79999923706055" hidden="0" customHeight="1">
      <x:c r="A16" s="21" t="str">
        <x:v>P0</x:v>
      </x:c>
      <x:c r="B16" s="21" t="str">
        <x:v>上传校验与字段映射</x:v>
      </x:c>
      <x:c r="C16" s="21" t="str">
        <x:v>财务核算依赖源数据质量，错误要在入库前暴露</x:v>
      </x:c>
      <x:c r="D16" s="21" t="str">
        <x:v>BOM/价格/委外三类模板 + 字段映射预览 + 阻断/警告分级</x:v>
      </x:c>
      <x:c r="E16" s="21" t="str">
        <x:v>缺字段、重复、用量异常、工段缺失、价格缺失可定位到行号</x:v>
      </x:c>
    </x:row>
    <x:row r="17" ht="66" hidden="0" customHeight="1">
      <x:c r="A17" s="21" t="str">
        <x:v>P0</x:v>
      </x:c>
      <x:c r="B17" s="21" t="str">
        <x:v>价格匹配规则升级</x:v>
      </x:c>
      <x:c r="C17" s="21" t="str">
        <x:v>仅物料编码+价格版本不足以处理有效期、供应商、币种</x:v>
      </x:c>
      <x:c r="D17" s="21" t="str">
        <x:v>MVP 使用物料编码+价格版本，保留生效/失效日期校验和默认供应商规则</x:v>
      </x:c>
      <x:c r="E17" s="21" t="str">
        <x:v>同一物料多价有明确选择规则，缺失价格进入待处理清单</x:v>
      </x:c>
    </x:row>
    <x:row r="18" ht="52.79999923706055" hidden="0" customHeight="1">
      <x:c r="A18" s="21" t="str">
        <x:v>P1</x:v>
      </x:c>
      <x:c r="B18" s="21" t="str">
        <x:v>版本差异归因模型</x:v>
      </x:c>
      <x:c r="C18" s="21" t="str">
        <x:v>BU 负责人要看变化原因，不只看金额变化</x:v>
      </x:c>
      <x:c r="D18" s="21" t="str">
        <x:v>差异类型自动识别 + BOM变更原因带入 + 人工确认说明</x:v>
      </x:c>
      <x:c r="E18" s="21" t="str">
        <x:v>新增/删除/用量/单价/委外/工段/规格变化均能输出金额和比例</x:v>
      </x:c>
    </x:row>
    <x:row r="19" ht="52.79999923706055" hidden="0" customHeight="1">
      <x:c r="A19" s="21" t="str">
        <x:v>P1</x:v>
      </x:c>
      <x:c r="B19" s="21" t="str">
        <x:v>角色化看板与导出模板</x:v>
      </x:c>
      <x:c r="C19" s="21" t="str">
        <x:v>财务看明细和审计，BU 看趋势和责任工段</x:v>
      </x:c>
      <x:c r="D19" s="21" t="str">
        <x:v>看板筛选 + KPI卡 + 工段汇总 + 趋势 + 差异明细 + Excel导出</x:v>
      </x:c>
      <x:c r="E19" s="21" t="str">
        <x:v>单 SKU 版本对比能从总览下钻到差异物料明细</x:v>
      </x:c>
    </x:row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</x:sheetData>
  <x:mergeCells>
    <x:mergeCell ref="A1:K1"/>
    <x:mergeCell ref="A2:K2"/>
    <x:mergeCell ref="A3:K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57.599998474121094" hidden="0" customHeight="1">
      <x:c r="A1" s="6" t="str">
        <x:v>系统信息架构与用户路径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15" hidden="0" customHeight="1">
      <x:c r="A2" s="10" t="str">
        <x:v>面向财务核算与 BU 经营负责人的第一版菜单和闭环流程</x:v>
      </x:c>
    </x:row>
    <x:row r="3"/>
    <x:row r="4" ht="15" hidden="0" customHeight="1">
      <x:c r="A4" s="20" t="str">
        <x:v>一级模块</x:v>
      </x:c>
      <x:c r="B4" s="20" t="str">
        <x:v>页面</x:v>
      </x:c>
      <x:c r="C4" s="20" t="str">
        <x:v>使用人</x:v>
      </x:c>
      <x:c r="D4" s="20" t="str">
        <x:v>核心动作</x:v>
      </x:c>
      <x:c r="E4" s="20" t="str">
        <x:v>输出结果</x:v>
      </x:c>
      <x:c r="F4" s="20" t="str">
        <x:v>MVP优先级</x:v>
      </x:c>
    </x:row>
    <x:row r="5" ht="52.79999923706055" hidden="0" customHeight="1">
      <x:c r="A5" s="21" t="str">
        <x:v>首页看板</x:v>
      </x:c>
      <x:c r="B5" s="21" t="str">
        <x:v>产品成本看板</x:v>
      </x:c>
      <x:c r="C5" s="21" t="str">
        <x:v>BU负责人/财务</x:v>
      </x:c>
      <x:c r="D5" s="21" t="str">
        <x:v>筛选 SKU、版本、工段、物料分类，查看成本结构和变化</x:v>
      </x:c>
      <x:c r="E5" s="21" t="str">
        <x:v>KPI、趋势、工段占比、差异明细</x:v>
      </x:c>
      <x:c r="F5" s="21" t="str">
        <x:v>P0</x:v>
      </x:c>
    </x:row>
    <x:row r="6" ht="39.599998474121094" hidden="0" customHeight="1">
      <x:c r="A6" s="21" t="str">
        <x:v>上传中心</x:v>
      </x:c>
      <x:c r="B6" s="21" t="str">
        <x:v>BOM 上传</x:v>
      </x:c>
      <x:c r="C6" s="21" t="str">
        <x:v>研发/财务</x:v>
      </x:c>
      <x:c r="D6" s="21" t="str">
        <x:v>上传单 SKU BOM、字段映射、校验、生成版本</x:v>
      </x:c>
      <x:c r="E6" s="21" t="str">
        <x:v>BOM批次、成本版本、校验报告</x:v>
      </x:c>
      <x:c r="F6" s="21" t="str">
        <x:v>P0</x:v>
      </x:c>
    </x:row>
    <x:row r="7" ht="39.599998474121094" hidden="0" customHeight="1">
      <x:c r="A7" s="21" t="str">
        <x:v>上传中心</x:v>
      </x:c>
      <x:c r="B7" s="21" t="str">
        <x:v>物料价格上传</x:v>
      </x:c>
      <x:c r="C7" s="21" t="str">
        <x:v>采购/财务</x:v>
      </x:c>
      <x:c r="D7" s="21" t="str">
        <x:v>上传采购价格、税率、币种、有效期、价格版本</x:v>
      </x:c>
      <x:c r="E7" s="21" t="str">
        <x:v>价格版本、价格校验报告</x:v>
      </x:c>
      <x:c r="F7" s="21" t="str">
        <x:v>P0</x:v>
      </x:c>
    </x:row>
    <x:row r="8" ht="39.599998474121094" hidden="0" customHeight="1">
      <x:c r="A8" s="21" t="str">
        <x:v>上传中心</x:v>
      </x:c>
      <x:c r="B8" s="21" t="str">
        <x:v>委外加工费上传</x:v>
      </x:c>
      <x:c r="C8" s="21" t="str">
        <x:v>采购/财务</x:v>
      </x:c>
      <x:c r="D8" s="21" t="str">
        <x:v>上传委外工序、供应商、加工单价、生效日期</x:v>
      </x:c>
      <x:c r="E8" s="21" t="str">
        <x:v>委外价格版本</x:v>
      </x:c>
      <x:c r="F8" s="21" t="str">
        <x:v>P0</x:v>
      </x:c>
    </x:row>
    <x:row r="9" ht="39.599998474121094" hidden="0" customHeight="1">
      <x:c r="A9" s="21" t="str">
        <x:v>核算中心</x:v>
      </x:c>
      <x:c r="B9" s="21" t="str">
        <x:v>成本核算结果</x:v>
      </x:c>
      <x:c r="C9" s="21" t="str">
        <x:v>财务</x:v>
      </x:c>
      <x:c r="D9" s="21" t="str">
        <x:v>按版本复算并查看末级物料明细</x:v>
      </x:c>
      <x:c r="E9" s="21" t="str">
        <x:v>物料成本、委外成本、单项总成本、价格状态</x:v>
      </x:c>
      <x:c r="F9" s="21" t="str">
        <x:v>P0</x:v>
      </x:c>
    </x:row>
    <x:row r="10" ht="39.599998474121094" hidden="0" customHeight="1">
      <x:c r="A10" s="21" t="str">
        <x:v>核算中心</x:v>
      </x:c>
      <x:c r="B10" s="21" t="str">
        <x:v>卷积计算验证</x:v>
      </x:c>
      <x:c r="C10" s="21" t="str">
        <x:v>财务/产品成本</x:v>
      </x:c>
      <x:c r="D10" s="21" t="str">
        <x:v>验证末级合计、组件卷积、成品成本一致</x:v>
      </x:c>
      <x:c r="E10" s="21" t="str">
        <x:v>卷积校验结论</x:v>
      </x:c>
      <x:c r="F10" s="21" t="str">
        <x:v>P1</x:v>
      </x:c>
    </x:row>
    <x:row r="11" ht="39.599998474121094" hidden="0" customHeight="1">
      <x:c r="A11" s="21" t="str">
        <x:v>版本管理</x:v>
      </x:c>
      <x:c r="B11" s="21" t="str">
        <x:v>成本版本列表</x:v>
      </x:c>
      <x:c r="C11" s="21" t="str">
        <x:v>财务</x:v>
      </x:c>
      <x:c r="D11" s="21" t="str">
        <x:v>查看版本、状态、上传批次、价格版本</x:v>
      </x:c>
      <x:c r="E11" s="21" t="str">
        <x:v>版本台账</x:v>
      </x:c>
      <x:c r="F11" s="21" t="str">
        <x:v>P0</x:v>
      </x:c>
    </x:row>
    <x:row r="12" ht="39.599998474121094" hidden="0" customHeight="1">
      <x:c r="A12" s="21" t="str">
        <x:v>版本管理</x:v>
      </x:c>
      <x:c r="B12" s="21" t="str">
        <x:v>版本对比</x:v>
      </x:c>
      <x:c r="C12" s="21" t="str">
        <x:v>财务/BU负责人</x:v>
      </x:c>
      <x:c r="D12" s="21" t="str">
        <x:v>选择两个或多个版本，查看差异和原因</x:v>
      </x:c>
      <x:c r="E12" s="21" t="str">
        <x:v>差异物料清单、工段多版本对比</x:v>
      </x:c>
      <x:c r="F12" s="21" t="str">
        <x:v>P0</x:v>
      </x:c>
    </x:row>
    <x:row r="13" ht="26.399999618530273" hidden="0" customHeight="1">
      <x:c r="A13" s="21" t="str">
        <x:v>导出中心</x:v>
      </x:c>
      <x:c r="B13" s="21" t="str">
        <x:v>Excel 导出</x:v>
      </x:c>
      <x:c r="C13" s="21" t="str">
        <x:v>财务/BU负责人</x:v>
      </x:c>
      <x:c r="D13" s="21" t="str">
        <x:v>按当前筛选导出结果</x:v>
      </x:c>
      <x:c r="E13" s="21" t="str">
        <x:v>看板摘要、明细、汇总、差异</x:v>
      </x:c>
      <x:c r="F13" s="21" t="str">
        <x:v>P1</x:v>
      </x:c>
    </x:row>
    <x:row r="14"/>
    <x:row r="15"/>
    <x:row r="16" ht="15" hidden="0" customHeight="1">
      <x:c r="A16" s="25" t="str">
        <x:v>推荐业务流程</x:v>
      </x:c>
    </x:row>
    <x:row r="17" ht="15" hidden="0" customHeight="1">
      <x:c r="A17" s="28" t="str">
        <x:v>步骤</x:v>
      </x:c>
      <x:c r="B17" s="28" t="str">
        <x:v>动作</x:v>
      </x:c>
      <x:c r="C17" s="28" t="str">
        <x:v>系统处理</x:v>
      </x:c>
      <x:c r="D17" s="28" t="str">
        <x:v>确认点</x:v>
      </x:c>
    </x:row>
    <x:row r="18" ht="39.599998474121094" hidden="0" customHeight="1">
      <x:c r="A18" s="21" t="str">
        <x:v>1</x:v>
      </x:c>
      <x:c r="B18" s="21" t="str">
        <x:v>上传价格与委外费</x:v>
      </x:c>
      <x:c r="C18" s="21" t="str">
        <x:v>生成价格版本，校验重复/币种/有效期</x:v>
      </x:c>
      <x:c r="D18" s="21" t="str">
        <x:v>是否允许缺失价格先入库</x:v>
      </x:c>
    </x:row>
    <x:row r="19" ht="39.599998474121094" hidden="0" customHeight="1">
      <x:c r="A19" s="21" t="str">
        <x:v>2</x:v>
      </x:c>
      <x:c r="B19" s="21" t="str">
        <x:v>上传 BOM</x:v>
      </x:c>
      <x:c r="C19" s="21" t="str">
        <x:v>字段映射、行级校验、末级识别</x:v>
      </x:c>
      <x:c r="D19" s="21" t="str">
        <x:v>BOM 是否一个文件一个 SKU</x:v>
      </x:c>
    </x:row>
    <x:row r="20" ht="26.399999618530273" hidden="0" customHeight="1">
      <x:c r="A20" s="21" t="str">
        <x:v>3</x:v>
      </x:c>
      <x:c r="B20" s="21" t="str">
        <x:v>生成成本版本</x:v>
      </x:c>
      <x:c r="C20" s="21" t="str">
        <x:v>匹配价格并自动核算</x:v>
      </x:c>
      <x:c r="D20" s="21" t="str">
        <x:v>成本版本命名规则</x:v>
      </x:c>
    </x:row>
    <x:row r="21" ht="26.399999618530273" hidden="0" customHeight="1">
      <x:c r="A21" s="21" t="str">
        <x:v>4</x:v>
      </x:c>
      <x:c r="B21" s="21" t="str">
        <x:v>查看核算结果</x:v>
      </x:c>
      <x:c r="C21" s="21" t="str">
        <x:v>末级明细、工段汇总、缺失价格提示</x:v>
      </x:c>
      <x:c r="D21" s="21" t="str">
        <x:v>含税/不含税展示口径</x:v>
      </x:c>
    </x:row>
    <x:row r="22" ht="26.399999618530273" hidden="0" customHeight="1">
      <x:c r="A22" s="21" t="str">
        <x:v>5</x:v>
      </x:c>
      <x:c r="B22" s="21" t="str">
        <x:v>版本对比与看板</x:v>
      </x:c>
      <x:c r="C22" s="21" t="str">
        <x:v>识别差异类型并展示趋势</x:v>
      </x:c>
      <x:c r="D22" s="21" t="str">
        <x:v>差异原因是否允许人工修订</x:v>
      </x:c>
    </x:row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57.599998474121094" hidden="0" customHeight="1">
      <x:c r="A1" s="6" t="str">
        <x:v>产品成本看板 - 页面原型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15" hidden="0" customHeight="1">
      <x:c r="A2" s="10" t="str">
        <x:v>首屏围绕总成本、版本差异、工段结构、趋势和缺失价格风险</x:v>
      </x:c>
    </x:row>
    <x:row r="3"/>
    <x:row r="4" ht="26.399999618530273" hidden="0" customHeight="1">
      <x:c r="A4" s="30" t="str">
        <x:v>筛选区</x:v>
      </x:c>
      <x:c r="B4" s="30" t="str">
        <x:v>BU</x:v>
      </x:c>
      <x:c r="C4" s="30" t="str">
        <x:v>护理电器</x:v>
      </x:c>
      <x:c r="D4" s="30" t="str">
        <x:v>产品/SKU</x:v>
      </x:c>
      <x:c r="E4" s="30" t="str">
        <x:v>1TB92-P-CN-WH-001</x:v>
      </x:c>
      <x:c r="F4" s="30" t="str">
        <x:v>成本版本</x:v>
      </x:c>
      <x:c r="G4" s="30" t="str">
        <x:v>V2026.05.07</x:v>
      </x:c>
      <x:c r="H4" s="30" t="str">
        <x:v>对比版本</x:v>
      </x:c>
      <x:c r="I4" s="30" t="str">
        <x:v>V2026.04.30</x:v>
      </x:c>
      <x:c r="J4" s="30" t="str">
        <x:v>工段</x:v>
      </x:c>
      <x:c r="K4" s="30" t="str">
        <x:v>全部</x:v>
      </x:c>
    </x:row>
    <x:row r="5" ht="15" hidden="0" customHeight="1">
      <x:c r="A5" s="30" t="str"/>
      <x:c r="B5" s="30" t="str">
        <x:v>物料分类</x:v>
      </x:c>
      <x:c r="C5" s="30" t="str">
        <x:v>全部</x:v>
      </x:c>
      <x:c r="D5" s="30" t="str">
        <x:v>价格版本</x:v>
      </x:c>
      <x:c r="E5" s="30" t="str">
        <x:v>P2026Q2</x:v>
      </x:c>
      <x:c r="F5" s="30" t="str">
        <x:v>只看差异</x:v>
      </x:c>
      <x:c r="G5" s="30" t="str">
        <x:v>否</x:v>
      </x:c>
      <x:c r="H5" s="30" t="str">
        <x:v>缺失价格</x:v>
      </x:c>
      <x:c r="I5" s="30" t="str">
        <x:v>全部</x:v>
      </x:c>
      <x:c r="J5" s="30" t="str">
        <x:v>导出</x:v>
      </x:c>
      <x:c r="K5" s="30" t="str">
        <x:v>Excel</x:v>
      </x:c>
    </x:row>
    <x:row r="6"/>
    <x:row r="7" ht="15" hidden="0" customHeight="1">
      <x:c r="A7" s="20" t="str">
        <x:v>指标</x:v>
      </x:c>
      <x:c r="B7" s="20" t="str">
        <x:v>数值</x:v>
      </x:c>
      <x:c r="C7" s="20" t="str">
        <x:v>解释</x:v>
      </x:c>
      <x:c r="E7" s="35" t="str">
        <x:v>工段分类</x:v>
      </x:c>
      <x:c r="F7" s="35" t="str">
        <x:v>当前成本</x:v>
      </x:c>
      <x:c r="G7" s="35" t="str">
        <x:v>上一版本</x:v>
      </x:c>
      <x:c r="H7" s="35" t="str">
        <x:v>差异金额</x:v>
      </x:c>
      <x:c r="I7" s="35" t="str">
        <x:v>差异比例</x:v>
      </x:c>
    </x:row>
    <x:row r="8" ht="26.399999618530273" hidden="0" customHeight="1">
      <x:c r="A8" s="21" t="str">
        <x:v>产品总成本</x:v>
      </x:c>
      <x:c r="B8" s="31" t="n">
        <x:v>128.86</x:v>
      </x:c>
      <x:c r="C8" s="21" t="str">
        <x:v>当前版本末级物料总成本</x:v>
      </x:c>
      <x:c r="E8" s="21" t="str">
        <x:v>配件-充电底座</x:v>
      </x:c>
      <x:c r="F8" s="31" t="n">
        <x:v>32.33</x:v>
      </x:c>
      <x:c r="G8" s="31" t="n">
        <x:v>30.83</x:v>
      </x:c>
      <x:c r="H8" s="31" t="n">
        <x:v>1.5</x:v>
      </x:c>
      <x:c r="I8" s="32" t="n">
        <x:v>0.049</x:v>
      </x:c>
    </x:row>
    <x:row r="9" ht="26.399999618530273" hidden="0" customHeight="1">
      <x:c r="A9" s="21" t="str">
        <x:v>较上一版本差异金额</x:v>
      </x:c>
      <x:c r="B9" s="31" t="n">
        <x:v>5.42</x:v>
      </x:c>
      <x:c r="C9" s="21" t="str">
        <x:v>当前版本 - 上一版本</x:v>
      </x:c>
      <x:c r="E9" s="21" t="str">
        <x:v>机身-硬件-PCBA</x:v>
      </x:c>
      <x:c r="F9" s="31" t="n">
        <x:v>26.99</x:v>
      </x:c>
      <x:c r="G9" s="31" t="n">
        <x:v>23.89</x:v>
      </x:c>
      <x:c r="H9" s="31" t="n">
        <x:v>3.1</x:v>
      </x:c>
      <x:c r="I9" s="32" t="n">
        <x:v>0.13</x:v>
      </x:c>
    </x:row>
    <x:row r="10" ht="26.399999618530273" hidden="0" customHeight="1">
      <x:c r="A10" s="21" t="str">
        <x:v>较上一版本差异比例</x:v>
      </x:c>
      <x:c r="B10" s="32" t="n">
        <x:v>0.044</x:v>
      </x:c>
      <x:c r="C10" s="21" t="str">
        <x:v>差异金额 / 上一版本成本</x:v>
      </x:c>
      <x:c r="E10" s="21" t="str">
        <x:v>机身-结构-电机</x:v>
      </x:c>
      <x:c r="F10" s="31" t="n">
        <x:v>16.7</x:v>
      </x:c>
      <x:c r="G10" s="31" t="n">
        <x:v>17.2</x:v>
      </x:c>
      <x:c r="H10" s="31" t="n">
        <x:v>-0.5</x:v>
      </x:c>
      <x:c r="I10" s="32" t="n">
        <x:v>-0.029</x:v>
      </x:c>
    </x:row>
    <x:row r="11" ht="39.599998474121094" hidden="0" customHeight="1">
      <x:c r="A11" s="21" t="str">
        <x:v>最大成本工段</x:v>
      </x:c>
      <x:c r="B11" s="21" t="str">
        <x:v>配件-充电底座</x:v>
      </x:c>
      <x:c r="C11" s="21" t="str">
        <x:v>工段成本 32.33，占比 25.1%</x:v>
      </x:c>
      <x:c r="E11" s="21" t="str">
        <x:v>机身-结构-外壳</x:v>
      </x:c>
      <x:c r="F11" s="31" t="n">
        <x:v>16.53</x:v>
      </x:c>
      <x:c r="G11" s="31" t="n">
        <x:v>16</x:v>
      </x:c>
      <x:c r="H11" s="31" t="n">
        <x:v>0.53</x:v>
      </x:c>
      <x:c r="I11" s="32" t="n">
        <x:v>0.033</x:v>
      </x:c>
    </x:row>
    <x:row r="12" ht="39.599998474121094" hidden="0" customHeight="1">
      <x:c r="A12" s="21" t="str">
        <x:v>最大上涨工段</x:v>
      </x:c>
      <x:c r="B12" s="21" t="str">
        <x:v>机身-硬件-PCBA</x:v>
      </x:c>
      <x:c r="C12" s="21" t="str">
        <x:v>上涨 3.10，主要来自 IC 单价变化</x:v>
      </x:c>
      <x:c r="E12" s="21" t="str">
        <x:v>机身-结构-电池</x:v>
      </x:c>
      <x:c r="F12" s="31" t="n">
        <x:v>15.95</x:v>
      </x:c>
      <x:c r="G12" s="31" t="n">
        <x:v>15.8</x:v>
      </x:c>
      <x:c r="H12" s="31" t="n">
        <x:v>0.15</x:v>
      </x:c>
      <x:c r="I12" s="32" t="n">
        <x:v>0.009</x:v>
      </x:c>
    </x:row>
    <x:row r="13" ht="26.399999618530273" hidden="0" customHeight="1">
      <x:c r="A13" s="21" t="str">
        <x:v>缺失价格物料数</x:v>
      </x:c>
      <x:c r="B13" s="21" t="n">
        <x:v>0</x:v>
      </x:c>
      <x:c r="C13" s="21" t="str">
        <x:v>价格匹配失败的末级物料数量</x:v>
      </x:c>
      <x:c r="E13" s="21" t="str">
        <x:v>配件-刷头</x:v>
      </x:c>
      <x:c r="F13" s="31" t="n">
        <x:v>11.2</x:v>
      </x:c>
      <x:c r="G13" s="31" t="n">
        <x:v>10.98</x:v>
      </x:c>
      <x:c r="H13" s="31" t="n">
        <x:v>0.22</x:v>
      </x:c>
      <x:c r="I13" s="32" t="n">
        <x:v>0.02</x:v>
      </x:c>
    </x:row>
    <x:row r="14" ht="15" hidden="0" customHeight="1">
      <x:c r="E14" s="21" t="str">
        <x:v>包装</x:v>
      </x:c>
      <x:c r="F14" s="31" t="n">
        <x:v>5.1</x:v>
      </x:c>
      <x:c r="G14" s="31" t="n">
        <x:v>5.3</x:v>
      </x:c>
      <x:c r="H14" s="31" t="n">
        <x:v>-0.2</x:v>
      </x:c>
      <x:c r="I14" s="32" t="n">
        <x:v>-0.038</x:v>
      </x:c>
    </x:row>
    <x:row r="15" ht="26.399999618530273" hidden="0" customHeight="1">
      <x:c r="E15" s="21" t="str">
        <x:v>机身-结构-尾盖组件</x:v>
      </x:c>
      <x:c r="F15" s="31" t="n">
        <x:v>4.06</x:v>
      </x:c>
      <x:c r="G15" s="31" t="n">
        <x:v>3.98</x:v>
      </x:c>
      <x:c r="H15" s="31" t="n">
        <x:v>0.08</x:v>
      </x:c>
      <x:c r="I15" s="32" t="n">
        <x:v>0.02</x:v>
      </x:c>
    </x:row>
    <x:row r="16"/>
    <x:row r="17"/>
    <x:row r="18" ht="15" hidden="0" customHeight="1">
      <x:c r="A18" s="28" t="str">
        <x:v>版本</x:v>
      </x:c>
      <x:c r="B18" s="28" t="str">
        <x:v>总成本</x:v>
      </x:c>
    </x:row>
    <x:row r="19" ht="15" hidden="0" customHeight="1">
      <x:c r="A19" s="21" t="str">
        <x:v>V2026.03</x:v>
      </x:c>
      <x:c r="B19" s="21" t="n">
        <x:v>119.8</x:v>
      </x:c>
    </x:row>
    <x:row r="20" ht="15" hidden="0" customHeight="1">
      <x:c r="A20" s="21" t="str">
        <x:v>V2026.04</x:v>
      </x:c>
      <x:c r="B20" s="21" t="n">
        <x:v>123.44</x:v>
      </x:c>
    </x:row>
    <x:row r="21" ht="15" hidden="0" customHeight="1">
      <x:c r="A21" s="21" t="str">
        <x:v>V2026.05</x:v>
      </x:c>
      <x:c r="B21" s="21" t="n">
        <x:v>128.86</x:v>
      </x:c>
    </x:row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</x:sheetData>
  <x:mergeCells>
    <x:mergeCell ref="A1:K1"/>
    <x:mergeCell ref="A2:K2"/>
  </x:mergeCells>
  <x:pageMargins left="0.7" right="0.7" top="0.75" bottom="0.75" header="0.3" footer="0.3"/>
  <x:drawing xmlns:r="http://schemas.openxmlformats.org/officeDocument/2006/relationships" r:id="R9ce6bbc8794148a6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76.80000305175781" hidden="0" customHeight="1">
      <x:c r="A1" s="6" t="str">
        <x:v>上传中心 - BOM/价格/委外上传原型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15" hidden="0" customHeight="1">
      <x:c r="A2" s="10" t="str">
        <x:v>把 Excel 模板、字段映射、校验报告和版本生成串成同一流程</x:v>
      </x:c>
    </x:row>
    <x:row r="3"/>
    <x:row r="4" ht="15" hidden="0" customHeight="1">
      <x:c r="A4" s="20" t="str">
        <x:v>区域</x:v>
      </x:c>
      <x:c r="B4" s="20" t="str">
        <x:v>BOM上传</x:v>
      </x:c>
      <x:c r="C4" s="20" t="str">
        <x:v>物料价格上传</x:v>
      </x:c>
      <x:c r="D4" s="20" t="str">
        <x:v>委外加工费上传</x:v>
      </x:c>
      <x:c r="E4" s="20" t="str">
        <x:v>交互说明</x:v>
      </x:c>
    </x:row>
    <x:row r="5" ht="39.599998474121094" hidden="0" customHeight="1">
      <x:c r="A5" s="21" t="str">
        <x:v>基础信息</x:v>
      </x:c>
      <x:c r="B5" s="21" t="str">
        <x:v>SKU、成本版本名称、价格版本、上传人</x:v>
      </x:c>
      <x:c r="C5" s="21" t="str">
        <x:v>价格版本、币种默认 CNY、上传人</x:v>
      </x:c>
      <x:c r="D5" s="21" t="str">
        <x:v>委外版本/价格版本、上传人</x:v>
      </x:c>
      <x:c r="E5" s="21" t="str">
        <x:v>先录入基础信息，再选择文件</x:v>
      </x:c>
    </x:row>
    <x:row r="6" ht="26.399999618530273" hidden="0" customHeight="1">
      <x:c r="A6" s="21" t="str">
        <x:v>文件选择</x:v>
      </x:c>
      <x:c r="B6" s="21" t="str">
        <x:v>单 SKU BOM Excel</x:v>
      </x:c>
      <x:c r="C6" s="21" t="str">
        <x:v>采购价格 Excel</x:v>
      </x:c>
      <x:c r="D6" s="21" t="str">
        <x:v>委外加工费 Excel</x:v>
      </x:c>
      <x:c r="E6" s="21" t="str">
        <x:v>支持拖拽上传和重新选择</x:v>
      </x:c>
    </x:row>
    <x:row r="7" ht="52.79999923706055" hidden="0" customHeight="1">
      <x:c r="A7" s="21" t="str">
        <x:v>字段映射</x:v>
      </x:c>
      <x:c r="B7" s="21" t="str">
        <x:v>识别 SKU、层级、子物料编码、工段、用量、是否末级</x:v>
      </x:c>
      <x:c r="C7" s="21" t="str">
        <x:v>识别物料编码、供应商、采购单价、税率、生效/失效日期</x:v>
      </x:c>
      <x:c r="D7" s="21" t="str">
        <x:v>识别物料编码、加工工序、供应商、加工单价、生效日期</x:v>
      </x:c>
      <x:c r="E7" s="21" t="str">
        <x:v>系统自动匹配同名字段，异常字段人工选择</x:v>
      </x:c>
    </x:row>
    <x:row r="8" ht="39.599998474121094" hidden="0" customHeight="1">
      <x:c r="A8" s="21" t="str">
        <x:v>校验结果</x:v>
      </x:c>
      <x:c r="B8" s="21" t="str">
        <x:v>缺字段、重复、用量异常、工段缺失、价格缺失</x:v>
      </x:c>
      <x:c r="C8" s="21" t="str">
        <x:v>价格缺失、重复价、税率异常、币种异常、有效期冲突</x:v>
      </x:c>
      <x:c r="D8" s="21" t="str">
        <x:v>加工单价异常、重复、缺供应商</x:v>
      </x:c>
      <x:c r="E8" s="21" t="str">
        <x:v>按阻断/警告/提示分级</x:v>
      </x:c>
    </x:row>
    <x:row r="9" ht="39.599998474121094" hidden="0" customHeight="1">
      <x:c r="A9" s="21" t="str">
        <x:v>确认入库</x:v>
      </x:c>
      <x:c r="B9" s="21" t="str">
        <x:v>生成 BOM 批次和成本版本</x:v>
      </x:c>
      <x:c r="C9" s="21" t="str">
        <x:v>生成价格版本</x:v>
      </x:c>
      <x:c r="D9" s="21" t="str">
        <x:v>生成委外费版本</x:v>
      </x:c>
      <x:c r="E9" s="21" t="str">
        <x:v>入库后不可直接覆盖，只能新版本或作废</x:v>
      </x:c>
    </x:row>
    <x:row r="10"/>
    <x:row r="11"/>
    <x:row r="12" ht="15" hidden="0" customHeight="1">
      <x:c r="A12" s="25" t="str">
        <x:v>上传校验报告样式</x:v>
      </x:c>
    </x:row>
    <x:row r="13" ht="15" hidden="0" customHeight="1">
      <x:c r="A13" s="38" t="str">
        <x:v>级别</x:v>
      </x:c>
      <x:c r="B13" s="38" t="str">
        <x:v>行号</x:v>
      </x:c>
      <x:c r="C13" s="38" t="str">
        <x:v>字段</x:v>
      </x:c>
      <x:c r="D13" s="38" t="str">
        <x:v>问题</x:v>
      </x:c>
      <x:c r="E13" s="38" t="str">
        <x:v>处理建议</x:v>
      </x:c>
      <x:c r="F13" s="38" t="str">
        <x:v>是否阻断</x:v>
      </x:c>
    </x:row>
    <x:row r="14" ht="26.399999618530273" hidden="0" customHeight="1">
      <x:c r="A14" s="21" t="str">
        <x:v>阻断</x:v>
      </x:c>
      <x:c r="B14" s="21" t="n">
        <x:v>18</x:v>
      </x:c>
      <x:c r="C14" s="21" t="str">
        <x:v>BOM用量</x:v>
      </x:c>
      <x:c r="D14" s="21" t="str">
        <x:v>为空或&lt;=0</x:v>
      </x:c>
      <x:c r="E14" s="21" t="str">
        <x:v>修改 Excel 后重新上传</x:v>
      </x:c>
      <x:c r="F14" s="21" t="str">
        <x:v>是</x:v>
      </x:c>
    </x:row>
    <x:row r="15" ht="15" hidden="0" customHeight="1">
      <x:c r="A15" s="21" t="str">
        <x:v>阻断</x:v>
      </x:c>
      <x:c r="B15" s="21" t="n">
        <x:v>42</x:v>
      </x:c>
      <x:c r="C15" s="21" t="str">
        <x:v>工段分类</x:v>
      </x:c>
      <x:c r="D15" s="21" t="str">
        <x:v>末级物料工段为空</x:v>
      </x:c>
      <x:c r="E15" s="21" t="str">
        <x:v>补充工段分类</x:v>
      </x:c>
      <x:c r="F15" s="21" t="str">
        <x:v>是</x:v>
      </x:c>
    </x:row>
    <x:row r="16" ht="39.599998474121094" hidden="0" customHeight="1">
      <x:c r="A16" s="21" t="str">
        <x:v>警告</x:v>
      </x:c>
      <x:c r="B16" s="21" t="n">
        <x:v>66</x:v>
      </x:c>
      <x:c r="C16" s="21" t="str">
        <x:v>子物料编码</x:v>
      </x:c>
      <x:c r="D16" s="21" t="str">
        <x:v>同 SKU+层级+物料重复</x:v>
      </x:c>
      <x:c r="E16" s="21" t="str">
        <x:v>确认是否重复投料</x:v>
      </x:c>
      <x:c r="F16" s="21" t="str">
        <x:v>可配置</x:v>
      </x:c>
    </x:row>
    <x:row r="17" ht="26.399999618530273" hidden="0" customHeight="1">
      <x:c r="A17" s="21" t="str">
        <x:v>警告</x:v>
      </x:c>
      <x:c r="B17" s="21" t="n">
        <x:v>81</x:v>
      </x:c>
      <x:c r="C17" s="21" t="str">
        <x:v>采购单价</x:v>
      </x:c>
      <x:c r="D17" s="21" t="str">
        <x:v>价格版本未匹配</x:v>
      </x:c>
      <x:c r="E17" s="21" t="str">
        <x:v>补充价格或允许缺价生成</x:v>
      </x:c>
      <x:c r="F17" s="21" t="str">
        <x:v>可配置</x:v>
      </x:c>
    </x:row>
    <x:row r="18" ht="26.399999618530273" hidden="0" customHeight="1">
      <x:c r="A18" s="21" t="str">
        <x:v>提示</x:v>
      </x:c>
      <x:c r="B18" s="21" t="n">
        <x:v>95</x:v>
      </x:c>
      <x:c r="C18" s="21" t="str">
        <x:v>币种</x:v>
      </x:c>
      <x:c r="D18" s="21" t="str">
        <x:v>发现非 CNY</x:v>
      </x:c>
      <x:c r="E18" s="21" t="str">
        <x:v>第一版建议先阻断或统一换算规则</x:v>
      </x:c>
      <x:c r="F18" s="21" t="str">
        <x:v>否</x:v>
      </x:c>
    </x:row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57.599998474121094" hidden="0" customHeight="1">
      <x:c r="A1" s="6" t="str">
        <x:v>核算中心与版本对比 - 页面原型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15" hidden="0" customHeight="1">
      <x:c r="A2" s="10" t="str">
        <x:v>展示末级物料成本、工段汇总、差异物料和多版本 pivot check</x:v>
      </x:c>
    </x:row>
    <x:row r="3"/>
    <x:row r="4" ht="15" hidden="0" customHeight="1">
      <x:c r="A4" s="20" t="str">
        <x:v>SKU</x:v>
      </x:c>
      <x:c r="B4" s="20" t="str">
        <x:v>版本</x:v>
      </x:c>
      <x:c r="C4" s="20" t="str">
        <x:v>工段</x:v>
      </x:c>
      <x:c r="D4" s="20" t="str">
        <x:v>物料编码</x:v>
      </x:c>
      <x:c r="E4" s="20" t="str">
        <x:v>物料名称</x:v>
      </x:c>
      <x:c r="F4" s="20" t="str">
        <x:v>用量</x:v>
      </x:c>
      <x:c r="G4" s="20" t="str">
        <x:v>采购单价</x:v>
      </x:c>
      <x:c r="H4" s="20" t="str">
        <x:v>委外加工费</x:v>
      </x:c>
      <x:c r="I4" s="20" t="str">
        <x:v>物料成本</x:v>
      </x:c>
      <x:c r="J4" s="20" t="str">
        <x:v>委外成本</x:v>
      </x:c>
      <x:c r="K4" s="20" t="str">
        <x:v>单项总成本</x:v>
      </x:c>
    </x:row>
    <x:row r="5" ht="26.399999618530273" hidden="0" customHeight="1">
      <x:c r="A5" s="21" t="str">
        <x:v>1TB92-P-CN-WH-001</x:v>
      </x:c>
      <x:c r="B5" s="21" t="str">
        <x:v>V2026.05</x:v>
      </x:c>
      <x:c r="C5" s="21" t="str">
        <x:v>机身-硬件-PCBA</x:v>
      </x:c>
      <x:c r="D5" s="21" t="str">
        <x:v>IC-DRV-002</x:v>
      </x:c>
      <x:c r="E5" s="21" t="str">
        <x:v>驱动 IC</x:v>
      </x:c>
      <x:c r="F5" s="21" t="n">
        <x:v>2</x:v>
      </x:c>
      <x:c r="G5" s="31" t="n">
        <x:v>12.2</x:v>
      </x:c>
      <x:c r="H5" s="31" t="n">
        <x:v>0</x:v>
      </x:c>
      <x:c r="I5" s="31" t="n">
        <x:f>F5*G5</x:f>
        <x:v>24.4</x:v>
      </x:c>
      <x:c r="J5" s="31" t="n">
        <x:f>F5*H5</x:f>
        <x:v>0</x:v>
      </x:c>
      <x:c r="K5" s="31" t="n">
        <x:f>I5+J5</x:f>
        <x:v>24.4</x:v>
      </x:c>
    </x:row>
    <x:row r="6" ht="26.399999618530273" hidden="0" customHeight="1">
      <x:c r="A6" s="21" t="str">
        <x:v>1TB92-P-CN-WH-001</x:v>
      </x:c>
      <x:c r="B6" s="21" t="str">
        <x:v>V2026.05</x:v>
      </x:c>
      <x:c r="C6" s="21" t="str">
        <x:v>配件-充电底座</x:v>
      </x:c>
      <x:c r="D6" s="21" t="str">
        <x:v>CHG-BASE-001</x:v>
      </x:c>
      <x:c r="E6" s="21" t="str">
        <x:v>充电底座组件</x:v>
      </x:c>
      <x:c r="F6" s="21" t="n">
        <x:v>1</x:v>
      </x:c>
      <x:c r="G6" s="31" t="n">
        <x:v>27.8</x:v>
      </x:c>
      <x:c r="H6" s="31" t="n">
        <x:v>4.53</x:v>
      </x:c>
      <x:c r="I6" s="31" t="n">
        <x:f>F6*G6</x:f>
        <x:v>27.8</x:v>
      </x:c>
      <x:c r="J6" s="31" t="n">
        <x:f>F6*H6</x:f>
        <x:v>4.53</x:v>
      </x:c>
      <x:c r="K6" s="31" t="n">
        <x:f>I6+J6</x:f>
        <x:v>32.33</x:v>
      </x:c>
    </x:row>
    <x:row r="7" ht="26.399999618530273" hidden="0" customHeight="1">
      <x:c r="A7" s="21" t="str">
        <x:v>1TB92-P-CN-WH-001</x:v>
      </x:c>
      <x:c r="B7" s="21" t="str">
        <x:v>V2026.05</x:v>
      </x:c>
      <x:c r="C7" s="21" t="str">
        <x:v>机身-结构-电机</x:v>
      </x:c>
      <x:c r="D7" s="21" t="str">
        <x:v>MOTOR-001</x:v>
      </x:c>
      <x:c r="E7" s="21" t="str">
        <x:v>声波电机</x:v>
      </x:c>
      <x:c r="F7" s="21" t="n">
        <x:v>1</x:v>
      </x:c>
      <x:c r="G7" s="31" t="n">
        <x:v>16.7</x:v>
      </x:c>
      <x:c r="H7" s="31" t="n">
        <x:v>0</x:v>
      </x:c>
      <x:c r="I7" s="31" t="n">
        <x:f>F7*G7</x:f>
        <x:v>16.7</x:v>
      </x:c>
      <x:c r="J7" s="31" t="n">
        <x:f>F7*H7</x:f>
        <x:v>0</x:v>
      </x:c>
      <x:c r="K7" s="31" t="n">
        <x:f>I7+J7</x:f>
        <x:v>16.7</x:v>
      </x:c>
    </x:row>
    <x:row r="8" ht="26.399999618530273" hidden="0" customHeight="1">
      <x:c r="A8" s="21" t="str">
        <x:v>1TB92-P-CN-WH-001</x:v>
      </x:c>
      <x:c r="B8" s="21" t="str">
        <x:v>V2026.05</x:v>
      </x:c>
      <x:c r="C8" s="21" t="str">
        <x:v>包装</x:v>
      </x:c>
      <x:c r="D8" s="21" t="str">
        <x:v>PKG-001</x:v>
      </x:c>
      <x:c r="E8" s="21" t="str">
        <x:v>彩盒彩卡</x:v>
      </x:c>
      <x:c r="F8" s="21" t="n">
        <x:v>1</x:v>
      </x:c>
      <x:c r="G8" s="31" t="n">
        <x:v>5.1</x:v>
      </x:c>
      <x:c r="H8" s="31" t="n">
        <x:v>0</x:v>
      </x:c>
      <x:c r="I8" s="31" t="n">
        <x:f>F8*G8</x:f>
        <x:v>5.1</x:v>
      </x:c>
      <x:c r="J8" s="31" t="n">
        <x:f>F8*H8</x:f>
        <x:v>0</x:v>
      </x:c>
      <x:c r="K8" s="31" t="n">
        <x:f>I8+J8</x:f>
        <x:v>5.1</x:v>
      </x:c>
    </x:row>
    <x:row r="9"/>
    <x:row r="10"/>
    <x:row r="11" ht="15" hidden="0" customHeight="1">
      <x:c r="A11" s="25" t="str">
        <x:v>版本差异明细</x:v>
      </x:c>
    </x:row>
    <x:row r="12" ht="15" hidden="0" customHeight="1">
      <x:c r="A12" s="35" t="str">
        <x:v>物料编码</x:v>
      </x:c>
      <x:c r="B12" s="35" t="str">
        <x:v>物料名称</x:v>
      </x:c>
      <x:c r="C12" s="35" t="str">
        <x:v>差异类型</x:v>
      </x:c>
      <x:c r="D12" s="35" t="str">
        <x:v>上一版本成本</x:v>
      </x:c>
      <x:c r="E12" s="35" t="str">
        <x:v>当前版本成本</x:v>
      </x:c>
      <x:c r="F12" s="35" t="str">
        <x:v>差异金额</x:v>
      </x:c>
      <x:c r="G12" s="35" t="str">
        <x:v>差异比例</x:v>
      </x:c>
      <x:c r="H12" s="35" t="str">
        <x:v>变更原因</x:v>
      </x:c>
      <x:c r="I12" s="35" t="str">
        <x:v>差异说明</x:v>
      </x:c>
    </x:row>
    <x:row r="13" ht="26.399999618530273" hidden="0" customHeight="1">
      <x:c r="A13" s="21" t="str">
        <x:v>IC-DRV-002</x:v>
      </x:c>
      <x:c r="B13" s="21" t="str">
        <x:v>驱动 IC</x:v>
      </x:c>
      <x:c r="C13" s="21" t="str">
        <x:v>单价变化</x:v>
      </x:c>
      <x:c r="D13" s="31" t="n">
        <x:v>21.3</x:v>
      </x:c>
      <x:c r="E13" s="31" t="n">
        <x:v>24.4</x:v>
      </x:c>
      <x:c r="F13" s="31" t="n">
        <x:v>3.1</x:v>
      </x:c>
      <x:c r="G13" s="32" t="n">
        <x:v>0.146</x:v>
      </x:c>
      <x:c r="H13" s="21" t="str">
        <x:v>供应商涨价</x:v>
      </x:c>
      <x:c r="I13" s="21" t="str">
        <x:v>采购单价由 10.65 调整到 12.20</x:v>
      </x:c>
    </x:row>
    <x:row r="14" ht="26.399999618530273" hidden="0" customHeight="1">
      <x:c r="A14" s="21" t="str">
        <x:v>CHG-BASE-001</x:v>
      </x:c>
      <x:c r="B14" s="21" t="str">
        <x:v>充电底座组件</x:v>
      </x:c>
      <x:c r="C14" s="21" t="str">
        <x:v>委外加工费变化</x:v>
      </x:c>
      <x:c r="D14" s="31" t="n">
        <x:v>30.83</x:v>
      </x:c>
      <x:c r="E14" s="31" t="n">
        <x:v>32.33</x:v>
      </x:c>
      <x:c r="F14" s="31" t="n">
        <x:v>1.5</x:v>
      </x:c>
      <x:c r="G14" s="32" t="n">
        <x:v>0.049</x:v>
      </x:c>
      <x:c r="H14" s="21" t="str">
        <x:v>加工报价更新</x:v>
      </x:c>
      <x:c r="I14" s="21" t="str">
        <x:v>委外加工费增加 1.50</x:v>
      </x:c>
    </x:row>
    <x:row r="15" ht="26.399999618530273" hidden="0" customHeight="1">
      <x:c r="A15" s="21" t="str">
        <x:v>SHELL-ABS-WH</x:v>
      </x:c>
      <x:c r="B15" s="21" t="str">
        <x:v>主体外壳</x:v>
      </x:c>
      <x:c r="C15" s="21" t="str">
        <x:v>规格变化</x:v>
      </x:c>
      <x:c r="D15" s="31" t="n">
        <x:v>15.8</x:v>
      </x:c>
      <x:c r="E15" s="31" t="n">
        <x:v>16.53</x:v>
      </x:c>
      <x:c r="F15" s="31" t="n">
        <x:v>0.73</x:v>
      </x:c>
      <x:c r="G15" s="32" t="n">
        <x:v>0.046</x:v>
      </x:c>
      <x:c r="H15" s="21" t="str">
        <x:v>材质/喷涂调整</x:v>
      </x:c>
      <x:c r="I15" s="21" t="str">
        <x:v>规格从普通喷涂调整为 UV 方案</x:v>
      </x:c>
    </x:row>
    <x:row r="16" ht="26.399999618530273" hidden="0" customHeight="1">
      <x:c r="A16" s="21" t="str">
        <x:v>PKG-001</x:v>
      </x:c>
      <x:c r="B16" s="21" t="str">
        <x:v>彩盒彩卡</x:v>
      </x:c>
      <x:c r="C16" s="21" t="str">
        <x:v>单价变化</x:v>
      </x:c>
      <x:c r="D16" s="31" t="n">
        <x:v>5.3</x:v>
      </x:c>
      <x:c r="E16" s="31" t="n">
        <x:v>5.1</x:v>
      </x:c>
      <x:c r="F16" s="31" t="n">
        <x:v>-0.2</x:v>
      </x:c>
      <x:c r="G16" s="32" t="n">
        <x:v>-0.038</x:v>
      </x:c>
      <x:c r="H16" s="21" t="str">
        <x:v>商务降本</x:v>
      </x:c>
      <x:c r="I16" s="21" t="str">
        <x:v>包装供应商核价下降</x:v>
      </x:c>
    </x:row>
    <x:row r="17"/>
    <x:row r="18"/>
    <x:row r="19" ht="15" hidden="0" customHeight="1">
      <x:c r="A19" s="25" t="str">
        <x:v>工段多版本 Pivot Check</x:v>
      </x:c>
    </x:row>
    <x:row r="20" ht="15" hidden="0" customHeight="1">
      <x:c r="A20" s="28" t="str">
        <x:v>工段分类</x:v>
      </x:c>
      <x:c r="B20" s="28" t="str">
        <x:v>V2026.03</x:v>
      </x:c>
      <x:c r="C20" s="28" t="str">
        <x:v>V2026.04</x:v>
      </x:c>
      <x:c r="D20" s="28" t="str">
        <x:v>V2026.05</x:v>
      </x:c>
      <x:c r="E20" s="28" t="str">
        <x:v>V05-V03</x:v>
      </x:c>
      <x:c r="F20" s="28" t="str">
        <x:v>差异说明</x:v>
      </x:c>
    </x:row>
    <x:row r="21" ht="26.399999618530273" hidden="0" customHeight="1">
      <x:c r="A21" s="21" t="str">
        <x:v>配件-充电底座</x:v>
      </x:c>
      <x:c r="B21" s="31" t="n">
        <x:v>29.8</x:v>
      </x:c>
      <x:c r="C21" s="31" t="n">
        <x:v>30.83</x:v>
      </x:c>
      <x:c r="D21" s="31" t="n">
        <x:v>32.33</x:v>
      </x:c>
      <x:c r="E21" s="31" t="n">
        <x:v>2.53</x:v>
      </x:c>
      <x:c r="F21" s="21" t="str">
        <x:v>委外加工费报价更新</x:v>
      </x:c>
    </x:row>
    <x:row r="22" ht="39.599998474121094" hidden="0" customHeight="1">
      <x:c r="A22" s="21" t="str">
        <x:v>机身-硬件-PCBA</x:v>
      </x:c>
      <x:c r="B22" s="31" t="n">
        <x:v>22.6</x:v>
      </x:c>
      <x:c r="C22" s="31" t="n">
        <x:v>23.89</x:v>
      </x:c>
      <x:c r="D22" s="31" t="n">
        <x:v>26.99</x:v>
      </x:c>
      <x:c r="E22" s="31" t="n">
        <x:v>4.39</x:v>
      </x:c>
      <x:c r="F22" s="21" t="str">
        <x:v>IC 单价上涨，待二供验证</x:v>
      </x:c>
    </x:row>
    <x:row r="23" ht="15" hidden="0" customHeight="1">
      <x:c r="A23" s="21" t="str">
        <x:v>机身-结构-电机</x:v>
      </x:c>
      <x:c r="B23" s="31" t="n">
        <x:v>17.5</x:v>
      </x:c>
      <x:c r="C23" s="31" t="n">
        <x:v>17.2</x:v>
      </x:c>
      <x:c r="D23" s="31" t="n">
        <x:v>16.7</x:v>
      </x:c>
      <x:c r="E23" s="31" t="n">
        <x:v>-0.8</x:v>
      </x:c>
      <x:c r="F23" s="21" t="str">
        <x:v>商务降本</x:v>
      </x:c>
    </x:row>
    <x:row r="24" ht="15" hidden="0" customHeight="1">
      <x:c r="A24" s="21" t="str">
        <x:v>包装</x:v>
      </x:c>
      <x:c r="B24" s="31" t="n">
        <x:v>5.5</x:v>
      </x:c>
      <x:c r="C24" s="31" t="n">
        <x:v>5.3</x:v>
      </x:c>
      <x:c r="D24" s="31" t="n">
        <x:v>5.1</x:v>
      </x:c>
      <x:c r="E24" s="31" t="n">
        <x:v>-0.4</x:v>
      </x:c>
      <x:c r="F24" s="21" t="str">
        <x:v>包装材料降本</x:v>
      </x:c>
    </x:row>
    <x:row r="25" ht="26.399999618530273" hidden="0" customHeight="1">
      <x:c r="A25" s="21" t="str">
        <x:v>BOM成本</x:v>
      </x:c>
      <x:c r="B25" s="31" t="n">
        <x:v>119.8</x:v>
      </x:c>
      <x:c r="C25" s="31" t="n">
        <x:v>123.44</x:v>
      </x:c>
      <x:c r="D25" s="31" t="n">
        <x:v>128.86</x:v>
      </x:c>
      <x:c r="E25" s="31" t="n">
        <x:v>9.06</x:v>
      </x:c>
      <x:c r="F25" s="21" t="str">
        <x:v>主要上涨来自 PCBA 和充电底座</x:v>
      </x:c>
    </x:row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</x:sheetData>
  <x:mergeCells>
    <x:mergeCell ref="A1:K1"/>
    <x:mergeCell ref="A2:K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76.80000305175781" hidden="0" customHeight="1">
      <x:c r="A1" s="6" t="str">
        <x:v>数据字典 - BOM、价格、委外、版本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15" hidden="0" customHeight="1">
      <x:c r="A2" s="10" t="str">
        <x:v>把用户提供字段标准化为数据库和上传模板字段</x:v>
      </x:c>
    </x:row>
    <x:row r="3"/>
    <x:row r="4" ht="15" hidden="0" customHeight="1">
      <x:c r="A4" s="20" t="str">
        <x:v>对象</x:v>
      </x:c>
      <x:c r="B4" s="20" t="str">
        <x:v>字段</x:v>
      </x:c>
      <x:c r="C4" s="20" t="str">
        <x:v>是否必填</x:v>
      </x:c>
      <x:c r="D4" s="20" t="str">
        <x:v>类型</x:v>
      </x:c>
      <x:c r="E4" s="20" t="str">
        <x:v>说明</x:v>
      </x:c>
      <x:c r="F4" s="20" t="str">
        <x:v>MVP处理</x:v>
      </x:c>
    </x:row>
    <x:row r="5" ht="52.79999923706055" hidden="0" customHeight="1">
      <x:c r="A5" s="21" t="str">
        <x:v>BOM明细</x:v>
      </x:c>
      <x:c r="B5" s="21" t="str">
        <x:v>SKU</x:v>
      </x:c>
      <x:c r="C5" s="21" t="str">
        <x:v>是</x:v>
      </x:c>
      <x:c r="D5" s="21" t="str">
        <x:v>文本</x:v>
      </x:c>
      <x:c r="E5" s="21" t="str">
        <x:v>产品 SKU，一个 BOM 文件对应一个 SKU</x:v>
      </x:c>
      <x:c r="F5" s="21" t="str">
        <x:v>入库</x:v>
      </x:c>
    </x:row>
    <x:row r="6" ht="26.399999618530273" hidden="0" customHeight="1">
      <x:c r="A6" s="21" t="str">
        <x:v>BOM明细</x:v>
      </x:c>
      <x:c r="B6" s="21" t="str">
        <x:v>层级</x:v>
      </x:c>
      <x:c r="C6" s="21" t="str">
        <x:v>是</x:v>
      </x:c>
      <x:c r="D6" s="21" t="str">
        <x:v>文本/层级码</x:v>
      </x:c>
      <x:c r="E6" s="21" t="str">
        <x:v>BOM 层级，如 1.1.2</x:v>
      </x:c>
      <x:c r="F6" s="21" t="str">
        <x:v>入库并用于卷积验证</x:v>
      </x:c>
    </x:row>
    <x:row r="7" ht="15" hidden="0" customHeight="1">
      <x:c r="A7" s="21" t="str">
        <x:v>BOM明细</x:v>
      </x:c>
      <x:c r="B7" s="21" t="str">
        <x:v>子物料编码</x:v>
      </x:c>
      <x:c r="C7" s="21" t="str">
        <x:v>是</x:v>
      </x:c>
      <x:c r="D7" s="21" t="str">
        <x:v>文本</x:v>
      </x:c>
      <x:c r="E7" s="21" t="str">
        <x:v>物料唯一编码</x:v>
      </x:c>
      <x:c r="F7" s="21" t="str">
        <x:v>入库</x:v>
      </x:c>
    </x:row>
    <x:row r="8" ht="15" hidden="0" customHeight="1">
      <x:c r="A8" s="21" t="str">
        <x:v>BOM明细</x:v>
      </x:c>
      <x:c r="B8" s="21" t="str">
        <x:v>子物料名称</x:v>
      </x:c>
      <x:c r="C8" s="21" t="str">
        <x:v>是</x:v>
      </x:c>
      <x:c r="D8" s="21" t="str">
        <x:v>文本</x:v>
      </x:c>
      <x:c r="E8" s="21" t="str">
        <x:v>物料名称</x:v>
      </x:c>
      <x:c r="F8" s="21" t="str">
        <x:v>入库</x:v>
      </x:c>
    </x:row>
    <x:row r="9" ht="26.399999618530273" hidden="0" customHeight="1">
      <x:c r="A9" s="21" t="str">
        <x:v>BOM明细</x:v>
      </x:c>
      <x:c r="B9" s="21" t="str">
        <x:v>子物料规格</x:v>
      </x:c>
      <x:c r="C9" s="21" t="str">
        <x:v>建议</x:v>
      </x:c>
      <x:c r="D9" s="21" t="str">
        <x:v>文本</x:v>
      </x:c>
      <x:c r="E9" s="21" t="str">
        <x:v>规格变化对比字段</x:v>
      </x:c>
      <x:c r="F9" s="21" t="str">
        <x:v>入库并参与版本对比</x:v>
      </x:c>
    </x:row>
    <x:row r="10" ht="15" hidden="0" customHeight="1">
      <x:c r="A10" s="21" t="str">
        <x:v>BOM明细</x:v>
      </x:c>
      <x:c r="B10" s="21" t="str">
        <x:v>子物料生产方式</x:v>
      </x:c>
      <x:c r="C10" s="21" t="str">
        <x:v>建议</x:v>
      </x:c>
      <x:c r="D10" s="21" t="str">
        <x:v>枚举</x:v>
      </x:c>
      <x:c r="E10" s="21" t="str">
        <x:v>外购/委外/自制等</x:v>
      </x:c>
      <x:c r="F10" s="21" t="str">
        <x:v>入库</x:v>
      </x:c>
    </x:row>
    <x:row r="11" ht="15" hidden="0" customHeight="1">
      <x:c r="A11" s="21" t="str">
        <x:v>BOM明细</x:v>
      </x:c>
      <x:c r="B11" s="21" t="str">
        <x:v>子项类型</x:v>
      </x:c>
      <x:c r="C11" s="21" t="str">
        <x:v>建议</x:v>
      </x:c>
      <x:c r="D11" s="21" t="str">
        <x:v>枚举</x:v>
      </x:c>
      <x:c r="E11" s="21" t="str">
        <x:v>标准件/虚拟件等</x:v>
      </x:c>
      <x:c r="F11" s="21" t="str">
        <x:v>入库</x:v>
      </x:c>
    </x:row>
    <x:row r="12" ht="26.399999618530273" hidden="0" customHeight="1">
      <x:c r="A12" s="21" t="str">
        <x:v>BOM明细</x:v>
      </x:c>
      <x:c r="B12" s="21" t="str">
        <x:v>工段分类</x:v>
      </x:c>
      <x:c r="C12" s="21" t="str">
        <x:v>末级必填</x:v>
      </x:c>
      <x:c r="D12" s="21" t="str">
        <x:v>枚举</x:v>
      </x:c>
      <x:c r="E12" s="21" t="str">
        <x:v>用于成本按工段汇总</x:v>
      </x:c>
      <x:c r="F12" s="21" t="str">
        <x:v>末级阻断校验</x:v>
      </x:c>
    </x:row>
    <x:row r="13" ht="15" hidden="0" customHeight="1">
      <x:c r="A13" s="21" t="str">
        <x:v>BOM明细</x:v>
      </x:c>
      <x:c r="B13" s="21" t="str">
        <x:v>物料分类</x:v>
      </x:c>
      <x:c r="C13" s="21" t="str">
        <x:v>建议</x:v>
      </x:c>
      <x:c r="D13" s="21" t="str">
        <x:v>枚举</x:v>
      </x:c>
      <x:c r="E13" s="21" t="str">
        <x:v>用于看板筛选</x:v>
      </x:c>
      <x:c r="F13" s="21" t="str">
        <x:v>入库</x:v>
      </x:c>
    </x:row>
    <x:row r="14" ht="15" hidden="0" customHeight="1">
      <x:c r="A14" s="21" t="str">
        <x:v>BOM明细</x:v>
      </x:c>
      <x:c r="B14" s="21" t="str">
        <x:v>功能目的</x:v>
      </x:c>
      <x:c r="C14" s="21" t="str">
        <x:v>建议</x:v>
      </x:c>
      <x:c r="D14" s="21" t="str">
        <x:v>文本</x:v>
      </x:c>
      <x:c r="E14" s="21" t="str">
        <x:v>辅助经营分析</x:v>
      </x:c>
      <x:c r="F14" s="21" t="str">
        <x:v>入库</x:v>
      </x:c>
    </x:row>
    <x:row r="15" ht="15" hidden="0" customHeight="1">
      <x:c r="A15" s="21" t="str">
        <x:v>BOM明细</x:v>
      </x:c>
      <x:c r="B15" s="21" t="str">
        <x:v>变更原因</x:v>
      </x:c>
      <x:c r="C15" s="21" t="str">
        <x:v>建议</x:v>
      </x:c>
      <x:c r="D15" s="21" t="str">
        <x:v>文本</x:v>
      </x:c>
      <x:c r="E15" s="21" t="str">
        <x:v>版本差异原因来源</x:v>
      </x:c>
      <x:c r="F15" s="21" t="str">
        <x:v>入库</x:v>
      </x:c>
    </x:row>
    <x:row r="16" ht="15" hidden="0" customHeight="1">
      <x:c r="A16" s="21" t="str">
        <x:v>BOM明细</x:v>
      </x:c>
      <x:c r="B16" s="21" t="str">
        <x:v>单位</x:v>
      </x:c>
      <x:c r="C16" s="21" t="str">
        <x:v>是</x:v>
      </x:c>
      <x:c r="D16" s="21" t="str">
        <x:v>文本</x:v>
      </x:c>
      <x:c r="E16" s="21" t="str">
        <x:v>PCS/KG/M 等</x:v>
      </x:c>
      <x:c r="F16" s="21" t="str">
        <x:v>入库</x:v>
      </x:c>
    </x:row>
    <x:row r="17" ht="15" hidden="0" customHeight="1">
      <x:c r="A17" s="21" t="str">
        <x:v>BOM明细</x:v>
      </x:c>
      <x:c r="B17" s="21" t="str">
        <x:v>BOM用量</x:v>
      </x:c>
      <x:c r="C17" s="21" t="str">
        <x:v>是</x:v>
      </x:c>
      <x:c r="D17" s="21" t="str">
        <x:v>数值</x:v>
      </x:c>
      <x:c r="E17" s="21" t="str">
        <x:v>成本计算数量</x:v>
      </x:c>
      <x:c r="F17" s="21" t="str">
        <x:v>阻断校验</x:v>
      </x:c>
    </x:row>
    <x:row r="18" ht="15" hidden="0" customHeight="1">
      <x:c r="A18" s="21" t="str">
        <x:v>BOM明细</x:v>
      </x:c>
      <x:c r="B18" s="21" t="str">
        <x:v>是否末级</x:v>
      </x:c>
      <x:c r="C18" s="21" t="str">
        <x:v>是</x:v>
      </x:c>
      <x:c r="D18" s="21" t="str">
        <x:v>布尔</x:v>
      </x:c>
      <x:c r="E18" s="21" t="str">
        <x:v>是否参与直接核算</x:v>
      </x:c>
      <x:c r="F18" s="21" t="str">
        <x:v>只核算是</x:v>
      </x:c>
    </x:row>
    <x:row r="19" ht="26.399999618530273" hidden="0" customHeight="1">
      <x:c r="A19" s="21" t="str">
        <x:v>物料价格</x:v>
      </x:c>
      <x:c r="B19" s="21" t="str">
        <x:v>物料编码</x:v>
      </x:c>
      <x:c r="C19" s="21" t="str">
        <x:v>是</x:v>
      </x:c>
      <x:c r="D19" s="21" t="str">
        <x:v>文本</x:v>
      </x:c>
      <x:c r="E19" s="21" t="str">
        <x:v>匹配 BOM 子物料编码</x:v>
      </x:c>
      <x:c r="F19" s="21" t="str">
        <x:v>入库</x:v>
      </x:c>
    </x:row>
    <x:row r="20" ht="15" hidden="0" customHeight="1">
      <x:c r="A20" s="21" t="str">
        <x:v>物料价格</x:v>
      </x:c>
      <x:c r="B20" s="21" t="str">
        <x:v>采购单价</x:v>
      </x:c>
      <x:c r="C20" s="21" t="str">
        <x:v>是</x:v>
      </x:c>
      <x:c r="D20" s="21" t="str">
        <x:v>金额</x:v>
      </x:c>
      <x:c r="E20" s="21" t="str">
        <x:v>默认含税价</x:v>
      </x:c>
      <x:c r="F20" s="21" t="str">
        <x:v>参与核算</x:v>
      </x:c>
    </x:row>
    <x:row r="21" ht="15" hidden="0" customHeight="1">
      <x:c r="A21" s="21" t="str">
        <x:v>物料价格</x:v>
      </x:c>
      <x:c r="B21" s="21" t="str">
        <x:v>税率</x:v>
      </x:c>
      <x:c r="C21" s="21" t="str">
        <x:v>是</x:v>
      </x:c>
      <x:c r="D21" s="21" t="str">
        <x:v>百分比</x:v>
      </x:c>
      <x:c r="E21" s="21" t="str">
        <x:v>用于反算不含税</x:v>
      </x:c>
      <x:c r="F21" s="21" t="str">
        <x:v>校验</x:v>
      </x:c>
    </x:row>
    <x:row r="22" ht="15" hidden="0" customHeight="1">
      <x:c r="A22" s="21" t="str">
        <x:v>物料价格</x:v>
      </x:c>
      <x:c r="B22" s="21" t="str">
        <x:v>币种</x:v>
      </x:c>
      <x:c r="C22" s="21" t="str">
        <x:v>是</x:v>
      </x:c>
      <x:c r="D22" s="21" t="str">
        <x:v>枚举</x:v>
      </x:c>
      <x:c r="E22" s="21" t="str">
        <x:v>第一版默认 CNY</x:v>
      </x:c>
      <x:c r="F22" s="21" t="str">
        <x:v>非 CNY 警告/阻断</x:v>
      </x:c>
    </x:row>
    <x:row r="23" ht="26.399999618530273" hidden="0" customHeight="1">
      <x:c r="A23" s="21" t="str">
        <x:v>物料价格</x:v>
      </x:c>
      <x:c r="B23" s="21" t="str">
        <x:v>生效日期/失效日期</x:v>
      </x:c>
      <x:c r="C23" s="21" t="str">
        <x:v>是</x:v>
      </x:c>
      <x:c r="D23" s="21" t="str">
        <x:v>日期</x:v>
      </x:c>
      <x:c r="E23" s="21" t="str">
        <x:v>价格有效期</x:v>
      </x:c>
      <x:c r="F23" s="21" t="str">
        <x:v>校验冲突</x:v>
      </x:c>
    </x:row>
    <x:row r="24" ht="15" hidden="0" customHeight="1">
      <x:c r="A24" s="21" t="str">
        <x:v>物料价格</x:v>
      </x:c>
      <x:c r="B24" s="21" t="str">
        <x:v>价格版本</x:v>
      </x:c>
      <x:c r="C24" s="21" t="str">
        <x:v>是</x:v>
      </x:c>
      <x:c r="D24" s="21" t="str">
        <x:v>文本</x:v>
      </x:c>
      <x:c r="E24" s="21" t="str">
        <x:v>价格匹配版本</x:v>
      </x:c>
      <x:c r="F24" s="21" t="str">
        <x:v>主匹配键</x:v>
      </x:c>
    </x:row>
    <x:row r="25" ht="15" hidden="0" customHeight="1">
      <x:c r="A25" s="21" t="str">
        <x:v>委外加工费</x:v>
      </x:c>
      <x:c r="B25" s="21" t="str">
        <x:v>加工工序</x:v>
      </x:c>
      <x:c r="C25" s="21" t="str">
        <x:v>是</x:v>
      </x:c>
      <x:c r="D25" s="21" t="str">
        <x:v>文本</x:v>
      </x:c>
      <x:c r="E25" s="21" t="str">
        <x:v>委外工序</x:v>
      </x:c>
      <x:c r="F25" s="21" t="str">
        <x:v>入库</x:v>
      </x:c>
    </x:row>
    <x:row r="26" ht="15" hidden="0" customHeight="1">
      <x:c r="A26" s="21" t="str">
        <x:v>委外加工费</x:v>
      </x:c>
      <x:c r="B26" s="21" t="str">
        <x:v>委外加工单价</x:v>
      </x:c>
      <x:c r="C26" s="21" t="str">
        <x:v>是</x:v>
      </x:c>
      <x:c r="D26" s="21" t="str">
        <x:v>金额</x:v>
      </x:c>
      <x:c r="E26" s="21" t="str">
        <x:v>按用量放大</x:v>
      </x:c>
      <x:c r="F26" s="21" t="str">
        <x:v>参与核算</x:v>
      </x:c>
    </x:row>
    <x:row r="27" ht="26.399999618530273" hidden="0" customHeight="1">
      <x:c r="A27" s="21" t="str">
        <x:v>成本版本</x:v>
      </x:c>
      <x:c r="B27" s="21" t="str">
        <x:v>版本状态</x:v>
      </x:c>
      <x:c r="C27" s="21" t="str">
        <x:v>是</x:v>
      </x:c>
      <x:c r="D27" s="21" t="str">
        <x:v>枚举</x:v>
      </x:c>
      <x:c r="E27" s="21" t="str">
        <x:v>草稿/已核算/已确认/作废</x:v>
      </x:c>
      <x:c r="F27" s="21" t="str">
        <x:v>工作流简化</x:v>
      </x:c>
    </x:row>
    <x:row r="28"/>
    <x:row r="29"/>
    <x:row r="30"/>
    <x:row r="31"/>
    <x:row r="32"/>
    <x:row r="33"/>
    <x:row r="34"/>
    <x:row r="35"/>
    <x:row r="36"/>
    <x:row r="37"/>
    <x:row r="38"/>
    <x:row r="39"/>
    <x:row r="40"/>
  </x:sheetData>
  <x:mergeCells>
    <x:mergeCell ref="A1:K1"/>
    <x:mergeCell ref="A2:K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57.599998474121094" hidden="0" customHeight="1">
      <x:c r="A1" s="6" t="str">
        <x:v>核算规则、对比规则与验收口径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15" hidden="0" customHeight="1">
      <x:c r="A2" s="10" t="str">
        <x:v>开发前需要和财务/BU共同确认的规则清单</x:v>
      </x:c>
    </x:row>
    <x:row r="3"/>
    <x:row r="4" ht="15" hidden="0" customHeight="1">
      <x:c r="A4" s="20" t="str">
        <x:v>规则类别</x:v>
      </x:c>
      <x:c r="B4" s="20" t="str">
        <x:v>规则</x:v>
      </x:c>
      <x:c r="C4" s="20" t="str">
        <x:v>公式/识别逻辑</x:v>
      </x:c>
      <x:c r="D4" s="20" t="str">
        <x:v>默认口径</x:v>
      </x:c>
      <x:c r="E4" s="20" t="str">
        <x:v>待确认问题</x:v>
      </x:c>
    </x:row>
    <x:row r="5" ht="26.399999618530273" hidden="0" customHeight="1">
      <x:c r="A5" s="21" t="str">
        <x:v>价格匹配</x:v>
      </x:c>
      <x:c r="B5" s="21" t="str">
        <x:v>主匹配键</x:v>
      </x:c>
      <x:c r="C5" s="21" t="str">
        <x:v>物料编码 + 价格版本</x:v>
      </x:c>
      <x:c r="D5" s="21" t="str">
        <x:v>MVP先不自动汇率换算</x:v>
      </x:c>
      <x:c r="E5" s="21" t="str">
        <x:v>是否按供应商优先级选价</x:v>
      </x:c>
    </x:row>
    <x:row r="6" ht="26.399999618530273" hidden="0" customHeight="1">
      <x:c r="A6" s="21" t="str">
        <x:v>物料成本</x:v>
      </x:c>
      <x:c r="B6" s="21" t="str">
        <x:v>单项物料成本</x:v>
      </x:c>
      <x:c r="C6" s="21" t="str">
        <x:v>BOM用量 × 采购单价</x:v>
      </x:c>
      <x:c r="D6" s="21" t="str">
        <x:v>采购单价为含税价</x:v>
      </x:c>
      <x:c r="E6" s="21" t="str">
        <x:v>看板是否同时展示不含税成本</x:v>
      </x:c>
    </x:row>
    <x:row r="7" ht="26.399999618530273" hidden="0" customHeight="1">
      <x:c r="A7" s="21" t="str">
        <x:v>委外成本</x:v>
      </x:c>
      <x:c r="B7" s="21" t="str">
        <x:v>单项委外成本</x:v>
      </x:c>
      <x:c r="C7" s="21" t="str">
        <x:v>BOM用量 × 委外加工单价</x:v>
      </x:c>
      <x:c r="D7" s="21" t="str">
        <x:v>一物料一委外总价</x:v>
      </x:c>
      <x:c r="E7" s="21" t="str">
        <x:v>是否需要多工序拆分</x:v>
      </x:c>
    </x:row>
    <x:row r="8" ht="26.399999618530273" hidden="0" customHeight="1">
      <x:c r="A8" s="21" t="str">
        <x:v>总成本</x:v>
      </x:c>
      <x:c r="B8" s="21" t="str">
        <x:v>单项总成本</x:v>
      </x:c>
      <x:c r="C8" s="21" t="str">
        <x:v>物料成本 + 委外成本</x:v>
      </x:c>
      <x:c r="D8" s="21" t="str">
        <x:v>保留2位金额展示，后台保留4位</x:v>
      </x:c>
      <x:c r="E8" s="21" t="str">
        <x:v>四舍五入发生在行级还是汇总级</x:v>
      </x:c>
    </x:row>
    <x:row r="9" ht="26.399999618530273" hidden="0" customHeight="1">
      <x:c r="A9" s="21" t="str">
        <x:v>末级核算</x:v>
      </x:c>
      <x:c r="B9" s="21" t="str">
        <x:v>避免重复计算</x:v>
      </x:c>
      <x:c r="C9" s="21" t="str">
        <x:v>是否末级=是 才参与直接核算</x:v>
      </x:c>
      <x:c r="D9" s="21" t="str">
        <x:v>非末级用于结构展示和卷积验证</x:v>
      </x:c>
      <x:c r="E9" s="21" t="str">
        <x:v>末级字段是否由系统自动推断</x:v>
      </x:c>
    </x:row>
    <x:row r="10" ht="39.599998474121094" hidden="0" customHeight="1">
      <x:c r="A10" s="21" t="str">
        <x:v>工段汇总</x:v>
      </x:c>
      <x:c r="B10" s="21" t="str">
        <x:v>工段成本</x:v>
      </x:c>
      <x:c r="C10" s="21" t="str">
        <x:v>SUM(同 SKU+版本+工段 的末级总成本)</x:v>
      </x:c>
      <x:c r="D10" s="21" t="str">
        <x:v>工段缺失阻断</x:v>
      </x:c>
      <x:c r="E10" s="21" t="str">
        <x:v>工段字典谁维护</x:v>
      </x:c>
    </x:row>
    <x:row r="11" ht="26.399999618530273" hidden="0" customHeight="1">
      <x:c r="A11" s="21" t="str">
        <x:v>版本对比</x:v>
      </x:c>
      <x:c r="B11" s="21" t="str">
        <x:v>新增/删除</x:v>
      </x:c>
      <x:c r="C11" s="21" t="str">
        <x:v>当前有上一无/上一有当前无</x:v>
      </x:c>
      <x:c r="D11" s="21" t="str">
        <x:v>按物料编码识别</x:v>
      </x:c>
      <x:c r="E11" s="21" t="str">
        <x:v>同一物料不同规格是否仍视为同物料</x:v>
      </x:c>
    </x:row>
    <x:row r="12" ht="26.399999618530273" hidden="0" customHeight="1">
      <x:c r="A12" s="21" t="str">
        <x:v>版本对比</x:v>
      </x:c>
      <x:c r="B12" s="21" t="str">
        <x:v>用量/单价/委外/工段/规格变化</x:v>
      </x:c>
      <x:c r="C12" s="21" t="str">
        <x:v>同物料对应字段发生变化</x:v>
      </x:c>
      <x:c r="D12" s="21" t="str">
        <x:v>可多标签</x:v>
      </x:c>
      <x:c r="E12" s="21" t="str">
        <x:v>差异类型是否需要主因排序</x:v>
      </x:c>
    </x:row>
    <x:row r="13" ht="26.399999618530273" hidden="0" customHeight="1">
      <x:c r="A13" s="21" t="str">
        <x:v>差异比例</x:v>
      </x:c>
      <x:c r="B13" s="21" t="str">
        <x:v>差异金额 / 上一版本成本</x:v>
      </x:c>
      <x:c r="C13" s="21" t="str">
        <x:v>上一版为0时显示新增或不适用</x:v>
      </x:c>
      <x:c r="D13" s="21" t="str">
        <x:v>保护除零</x:v>
      </x:c>
      <x:c r="E13" s="21" t="str">
        <x:v>新增物料比例如何展示</x:v>
      </x:c>
    </x:row>
    <x:row r="14" ht="39.599998474121094" hidden="0" customHeight="1">
      <x:c r="A14" s="21" t="str">
        <x:v>导出</x:v>
      </x:c>
      <x:c r="B14" s="21" t="str">
        <x:v>Excel导出</x:v>
      </x:c>
      <x:c r="C14" s="21" t="str">
        <x:v>按当前筛选导出摘要、明细、工段、差异</x:v>
      </x:c>
      <x:c r="D14" s="21" t="str">
        <x:v>保留筛选条件和版本信息</x:v>
      </x:c>
      <x:c r="E14" s="21" t="str">
        <x:v>是否需要审计水印/导出人</x:v>
      </x:c>
    </x:row>
    <x:row r="15"/>
    <x:row r="16"/>
    <x:row r="17" ht="15" hidden="0" customHeight="1">
      <x:c r="A17" s="25" t="str">
        <x:v>MVP验收清单</x:v>
      </x:c>
    </x:row>
    <x:row r="18" ht="15" hidden="0" customHeight="1">
      <x:c r="A18" s="28" t="str">
        <x:v>编号</x:v>
      </x:c>
      <x:c r="B18" s="28" t="str">
        <x:v>验收项</x:v>
      </x:c>
      <x:c r="C18" s="28" t="str">
        <x:v>验收标准</x:v>
      </x:c>
    </x:row>
    <x:row r="19" ht="52.79999923706055" hidden="0" customHeight="1">
      <x:c r="A19" s="21" t="str">
        <x:v>A1</x:v>
      </x:c>
      <x:c r="B19" s="21" t="str">
        <x:v>BOM上传</x:v>
      </x:c>
      <x:c r="C19" s="21" t="str">
        <x:v>能上传单 SKU BOM，输出行级校验结果，并生成成本版本</x:v>
      </x:c>
    </x:row>
    <x:row r="20" ht="39.599998474121094" hidden="0" customHeight="1">
      <x:c r="A20" s="21" t="str">
        <x:v>A2</x:v>
      </x:c>
      <x:c r="B20" s="21" t="str">
        <x:v>价格上传</x:v>
      </x:c>
      <x:c r="C20" s="21" t="str">
        <x:v>能按价格版本入库采购价格和委外加工费</x:v>
      </x:c>
    </x:row>
    <x:row r="21" ht="52.79999923706055" hidden="0" customHeight="1">
      <x:c r="A21" s="21" t="str">
        <x:v>A3</x:v>
      </x:c>
      <x:c r="B21" s="21" t="str">
        <x:v>自动核算</x:v>
      </x:c>
      <x:c r="C21" s="21" t="str">
        <x:v>仅末级物料参与直接核算，物料成本/委外成本/总成本准确</x:v>
      </x:c>
    </x:row>
    <x:row r="22" ht="26.399999618530273" hidden="0" customHeight="1">
      <x:c r="A22" s="21" t="str">
        <x:v>A4</x:v>
      </x:c>
      <x:c r="B22" s="21" t="str">
        <x:v>工段汇总</x:v>
      </x:c>
      <x:c r="C22" s="21" t="str">
        <x:v>可按工段分类查看成本合计和占比</x:v>
      </x:c>
    </x:row>
    <x:row r="23" ht="66" hidden="0" customHeight="1">
      <x:c r="A23" s="21" t="str">
        <x:v>A5</x:v>
      </x:c>
      <x:c r="B23" s="21" t="str">
        <x:v>版本对比</x:v>
      </x:c>
      <x:c r="C23" s="21" t="str">
        <x:v>可选择当前 vs 上一版或任意两个版本，输出差异类型、金额、比例、原因</x:v>
      </x:c>
    </x:row>
    <x:row r="24" ht="26.399999618530273" hidden="0" customHeight="1">
      <x:c r="A24" s="21" t="str">
        <x:v>A6</x:v>
      </x:c>
      <x:c r="B24" s="21" t="str">
        <x:v>看板导出</x:v>
      </x:c>
      <x:c r="C24" s="21" t="str">
        <x:v>可按筛选条件展示并导出 Excel</x:v>
      </x:c>
    </x:row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</x:sheetData>
  <x:mergeCells>
    <x:mergeCell ref="A1:K1"/>
    <x:mergeCell ref="A2:K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38.400001525878906" hidden="0" customHeight="1">
      <x:c r="A1" s="6" t="str">
        <x:v>第一版开发拆分建议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15" hidden="0" customHeight="1">
      <x:c r="A2" s="10" t="str">
        <x:v>React + Tailwind、FastAPI/Node、PostgreSQL、本地 Excel 上传的可落地任务拆分</x:v>
      </x:c>
    </x:row>
    <x:row r="3"/>
    <x:row r="4" ht="15" hidden="0" customHeight="1">
      <x:c r="A4" s="20" t="str">
        <x:v>迭代</x:v>
      </x:c>
      <x:c r="B4" s="20" t="str">
        <x:v>模块</x:v>
      </x:c>
      <x:c r="C4" s="20" t="str">
        <x:v>开发任务</x:v>
      </x:c>
      <x:c r="D4" s="20" t="str">
        <x:v>关键产物</x:v>
      </x:c>
      <x:c r="E4" s="20" t="str">
        <x:v>优先级</x:v>
      </x:c>
    </x:row>
    <x:row r="5" ht="105.5999984741211" hidden="0" customHeight="1">
      <x:c r="A5" s="21" t="str">
        <x:v>Sprint 1</x:v>
      </x:c>
      <x:c r="B5" s="21" t="str">
        <x:v>数据模型</x:v>
      </x:c>
      <x:c r="C5" s="21" t="str">
        <x:v>建 product、sku、bom_upload_batch、bom_item、price_item、outsourcing_fee、cost_version、cost_result、version_diff 表</x:v>
      </x:c>
      <x:c r="D5" s="21" t="str">
        <x:v>数据库迁移脚本、ERD</x:v>
      </x:c>
      <x:c r="E5" s="21" t="str">
        <x:v>P0</x:v>
      </x:c>
    </x:row>
    <x:row r="6" ht="39.599998474121094" hidden="0" customHeight="1">
      <x:c r="A6" s="21" t="str">
        <x:v>Sprint 1</x:v>
      </x:c>
      <x:c r="B6" s="21" t="str">
        <x:v>上传中心</x:v>
      </x:c>
      <x:c r="C6" s="21" t="str">
        <x:v>Excel解析、字段映射、校验规则、错误报告</x:v>
      </x:c>
      <x:c r="D6" s="21" t="str">
        <x:v>上传 API、校验明细表</x:v>
      </x:c>
      <x:c r="E6" s="21" t="str">
        <x:v>P0</x:v>
      </x:c>
    </x:row>
    <x:row r="7" ht="39.599998474121094" hidden="0" customHeight="1">
      <x:c r="A7" s="21" t="str">
        <x:v>Sprint 2</x:v>
      </x:c>
      <x:c r="B7" s="21" t="str">
        <x:v>核算引擎</x:v>
      </x:c>
      <x:c r="C7" s="21" t="str">
        <x:v>价格匹配、末级核算、工段汇总、缺失价格清单</x:v>
      </x:c>
      <x:c r="D7" s="21" t="str">
        <x:v>核算服务、单元测试</x:v>
      </x:c>
      <x:c r="E7" s="21" t="str">
        <x:v>P0</x:v>
      </x:c>
    </x:row>
    <x:row r="8" ht="26.399999618530273" hidden="0" customHeight="1">
      <x:c r="A8" s="21" t="str">
        <x:v>Sprint 2</x:v>
      </x:c>
      <x:c r="B8" s="21" t="str">
        <x:v>版本管理</x:v>
      </x:c>
      <x:c r="C8" s="21" t="str">
        <x:v>版本生成、状态管理、上一版本选择</x:v>
      </x:c>
      <x:c r="D8" s="21" t="str">
        <x:v>版本台账页面/API</x:v>
      </x:c>
      <x:c r="E8" s="21" t="str">
        <x:v>P0</x:v>
      </x:c>
    </x:row>
    <x:row r="9" ht="52.79999923706055" hidden="0" customHeight="1">
      <x:c r="A9" s="21" t="str">
        <x:v>Sprint 3</x:v>
      </x:c>
      <x:c r="B9" s="21" t="str">
        <x:v>版本对比</x:v>
      </x:c>
      <x:c r="C9" s="21" t="str">
        <x:v>差异识别、金额比例计算、变更原因输出、多版本工段对比</x:v>
      </x:c>
      <x:c r="D9" s="21" t="str">
        <x:v>对比服务、差异页面</x:v>
      </x:c>
      <x:c r="E9" s="21" t="str">
        <x:v>P0</x:v>
      </x:c>
    </x:row>
    <x:row r="10" ht="39.599998474121094" hidden="0" customHeight="1">
      <x:c r="A10" s="21" t="str">
        <x:v>Sprint 3</x:v>
      </x:c>
      <x:c r="B10" s="21" t="str">
        <x:v>看板</x:v>
      </x:c>
      <x:c r="C10" s="21" t="str">
        <x:v>筛选、KPI、工段表、趋势图、占比图、差异明细</x:v>
      </x:c>
      <x:c r="D10" s="21" t="str">
        <x:v>成本看板页面</x:v>
      </x:c>
      <x:c r="E10" s="21" t="str">
        <x:v>P0</x:v>
      </x:c>
    </x:row>
    <x:row r="11" ht="39.599998474121094" hidden="0" customHeight="1">
      <x:c r="A11" s="21" t="str">
        <x:v>Sprint 4</x:v>
      </x:c>
      <x:c r="B11" s="21" t="str">
        <x:v>导出与审计</x:v>
      </x:c>
      <x:c r="C11" s="21" t="str">
        <x:v>导出 Excel、操作日志、异常数据下载</x:v>
      </x:c>
      <x:c r="D11" s="21" t="str">
        <x:v>导出模板、日志表</x:v>
      </x:c>
      <x:c r="E11" s="21" t="str">
        <x:v>P1</x:v>
      </x:c>
    </x:row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</x:sheetData>
  <x:mergeCells>
    <x:mergeCell ref="A1:K1"/>
    <x:mergeCell ref="A2:K2"/>
  </x:mergeCells>
  <x:pageMargins left="0.7" right="0.7" top="0.75" bottom="0.75" header="0.3" footer="0.3"/>
</x:worksheet>
</file>