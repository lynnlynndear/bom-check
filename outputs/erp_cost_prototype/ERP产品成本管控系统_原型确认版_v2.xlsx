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866aa1400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当前版本&amp;优化点" sheetId="1" r:id="R7bc1a119c2f74710"/>
    <x:sheet xmlns:r="http://schemas.openxmlformats.org/officeDocument/2006/relationships" name="02 单底表上传流程" sheetId="2" r:id="R908dad564d2c4d25"/>
    <x:sheet xmlns:r="http://schemas.openxmlformats.org/officeDocument/2006/relationships" name="03 底表字段模板" sheetId="3" r:id="R164f5fcd8a6c4636"/>
    <x:sheet xmlns:r="http://schemas.openxmlformats.org/officeDocument/2006/relationships" name="04 看板原型" sheetId="4" r:id="Re45a36680e0449de"/>
    <x:sheet xmlns:r="http://schemas.openxmlformats.org/officeDocument/2006/relationships" name="05 核算&amp;版本对比" sheetId="5" r:id="Rb42582a8b4784012"/>
    <x:sheet xmlns:r="http://schemas.openxmlformats.org/officeDocument/2006/relationships" name="06 数据模型" sheetId="6" r:id="Ra70e1f93de384110"/>
    <x:sheet xmlns:r="http://schemas.openxmlformats.org/officeDocument/2006/relationships" name="07 规则&amp;验收" sheetId="7" r:id="R9d969478288a4aed"/>
    <x:sheet xmlns:r="http://schemas.openxmlformats.org/officeDocument/2006/relationships" name="08 MVP开发拆分" sheetId="8" r:id="Rd23e93985e29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.00"/>
    <x:numFmt numFmtId="201" formatCode="0.0%"/>
    <x:numFmt numFmtId="202" formatCode="0%"/>
  </x:numFmts>
  <x:fonts count="7">
    <x:font>
      <x:sz val="11"/>
      <x:name val="Carlito"/>
    </x:font>
    <x:font>
      <x:sz val="10"/>
      <x:color rgb="25313F"/>
      <x:name val="Microsoft YaHei"/>
    </x:font>
    <x:font>
      <x:b/>
      <x:sz val="16"/>
      <x:color rgb="FFFFFF"/>
      <x:name val="Microsoft YaHei"/>
    </x:font>
    <x:font>
      <x:sz val="10"/>
      <x:color rgb="4B5563"/>
      <x:name val="Microsoft YaHei"/>
    </x:font>
    <x:font>
      <x:b/>
      <x:sz val="11"/>
      <x:color rgb="1F3A5F"/>
      <x:name val="Carlito"/>
    </x:font>
    <x:font>
      <x:b/>
      <x:sz val="11"/>
      <x:color rgb="FFFFFF"/>
      <x:name val="Microsoft YaHei"/>
    </x:font>
    <x:font>
      <x:b/>
      <x:sz val="10"/>
      <x:color rgb="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F3F6FA"/>
      </x:patternFill>
    </x:fill>
    <x:fill>
      <x:patternFill patternType="solid">
        <x:fgColor rgb="EAF3FF"/>
      </x:patternFill>
    </x:fill>
    <x:fill>
      <x:patternFill patternType="solid">
        <x:fgColor rgb="00A3A3"/>
      </x:patternFill>
    </x:fill>
    <x:fill>
      <x:patternFill patternType="solid">
        <x:fgColor rgb="FFFFFF"/>
      </x:patternFill>
    </x:fill>
    <x:fill>
      <x:patternFill patternType="solid">
        <x:fgColor rgb="2F80ED"/>
      </x:patternFill>
    </x:fill>
    <x:fill>
      <x:patternFill patternType="solid">
        <x:fgColor rgb="C0392B"/>
      </x:patternFill>
    </x:fill>
  </x:fills>
  <x:borders count="2">
    <x:border/>
    <x:border>
      <x:left style="thin">
        <x:color rgb="D8DEE8"/>
      </x:left>
      <x:right style="thin">
        <x:color rgb="D8DEE8"/>
      </x:right>
      <x:top style="thin">
        <x:color rgb="D8DEE8"/>
      </x:top>
      <x:bottom style="thin">
        <x:color rgb="D8DE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5" fillId="8" borderId="0" xfId="0" applyNumberFormat="1" applyFont="1" applyFill="1" applyBorder="1" applyAlignment="1">
      <x:alignment horizontal="left"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202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145e9307a490c" /><Relationship Type="http://schemas.openxmlformats.org/officeDocument/2006/relationships/theme" Target="/xl/theme/theme1.xml" Id="R014dc430cd6f46f7" /><Relationship Type="http://schemas.openxmlformats.org/officeDocument/2006/relationships/sharedStrings" Target="/xl/sharedStrings.xml" Id="R8f7e1cfcb48b4dcf" /><Relationship Type="http://schemas.openxmlformats.org/officeDocument/2006/relationships/worksheet" Target="/xl/worksheets/sheet1.xml" Id="R7bc1a119c2f74710" /><Relationship Type="http://schemas.openxmlformats.org/officeDocument/2006/relationships/worksheet" Target="/xl/worksheets/sheet2.xml" Id="R908dad564d2c4d25" /><Relationship Type="http://schemas.openxmlformats.org/officeDocument/2006/relationships/worksheet" Target="/xl/worksheets/sheet3.xml" Id="R164f5fcd8a6c4636" /><Relationship Type="http://schemas.openxmlformats.org/officeDocument/2006/relationships/worksheet" Target="/xl/worksheets/sheet4.xml" Id="Re45a36680e0449de" /><Relationship Type="http://schemas.openxmlformats.org/officeDocument/2006/relationships/worksheet" Target="/xl/worksheets/sheet5.xml" Id="Rb42582a8b4784012" /><Relationship Type="http://schemas.openxmlformats.org/officeDocument/2006/relationships/worksheet" Target="/xl/worksheets/sheet6.xml" Id="Ra70e1f93de384110" /><Relationship Type="http://schemas.openxmlformats.org/officeDocument/2006/relationships/worksheet" Target="/xl/worksheets/sheet7.xml" Id="R9d969478288a4aed" /><Relationship Type="http://schemas.openxmlformats.org/officeDocument/2006/relationships/worksheet" Target="/xl/worksheets/sheet8.xml" Id="Rd23e93985e294b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15359d061442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含税/不含税工段成本对比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含税成本</c:v>
          </c:tx>
          <c:cat>
            <c:strLit>
              <c:ptCount val="5"/>
              <c:pt idx="0">
                <c:v>PCBA</c:v>
              </c:pt>
              <c:pt idx="1">
                <c:v>结构件</c:v>
              </c:pt>
              <c:pt idx="2">
                <c:v>电机</c:v>
              </c:pt>
              <c:pt idx="3">
                <c:v>电池</c:v>
              </c:pt>
              <c:pt idx="4">
                <c:v>包装</c:v>
              </c:pt>
            </c:strLit>
          </c:cat>
          <c:val>
            <c:numLit>
              <c:formatCode/>
              <c:ptCount val="5"/>
              <c:pt idx="0">
                <c:v>36.2</c:v>
              </c:pt>
              <c:pt idx="1">
                <c:v>28.5</c:v>
              </c:pt>
              <c:pt idx="2">
                <c:v>16.7</c:v>
              </c:pt>
              <c:pt idx="3">
                <c:v>15.95</c:v>
              </c:pt>
              <c:pt idx="4">
                <c:v>5.1</c:v>
              </c:pt>
            </c:numLit>
          </c:val>
        </c:ser>
        <c:ser>
          <c:idx val="1"/>
          <c:order val="1"/>
          <c:tx>
            <c:v>不含税成本</c:v>
          </c:tx>
          <c:cat>
            <c:strLit>
              <c:ptCount val="5"/>
              <c:pt idx="0">
                <c:v>PCBA</c:v>
              </c:pt>
              <c:pt idx="1">
                <c:v>结构件</c:v>
              </c:pt>
              <c:pt idx="2">
                <c:v>电机</c:v>
              </c:pt>
              <c:pt idx="3">
                <c:v>电池</c:v>
              </c:pt>
              <c:pt idx="4">
                <c:v>包装</c:v>
              </c:pt>
            </c:strLit>
          </c:cat>
          <c:val>
            <c:numLit>
              <c:formatCode/>
              <c:ptCount val="5"/>
              <c:pt idx="0">
                <c:v>32.04</c:v>
              </c:pt>
              <c:pt idx="1">
                <c:v>25.22</c:v>
              </c:pt>
              <c:pt idx="2">
                <c:v>14.78</c:v>
              </c:pt>
              <c:pt idx="3">
                <c:v>14.12</c:v>
              </c:pt>
              <c:pt idx="4">
                <c:v>4.51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16</xdr:row>
      <xdr:rowOff>0</xdr:rowOff>
    </xdr:from>
    <xdr:ext cx="3714750" cy="2190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15359d0614424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891de7770f0467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115.19999694824219" hidden="0" customHeight="1">
      <x:c r="A1" s="6" t="str">
        <x:v>ERP 产品成本管控系统 - V0.2确认口径与5个优化点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根据最新确认：本地底表上传 + 数据库存储 + 可复算；金额2位；人民币；一个文件一个SKU</x:v>
      </x:c>
    </x:row>
    <x:row r="3" ht="158.39999389648438" hidden="0" customHeight="1">
      <x:c r="A3" s="14" t="str">
        <x:v>当前版本判断：V0.2 原型确认版。忽略 sample 的业务数据倾向，只保留 example-v2 的底表模板思路；第一版数据获取方式为本地上传、数据库存储、可复算，不对接 ERP。</x:v>
      </x:c>
    </x:row>
    <x:row r="4"/>
    <x:row r="5" ht="15" hidden="0" customHeight="1">
      <x:c r="A5" s="18" t="str">
        <x:v>已确认口径</x:v>
      </x:c>
    </x:row>
    <x:row r="6" ht="15" hidden="0" customHeight="1">
      <x:c r="A6" s="24" t="str">
        <x:v>编号</x:v>
      </x:c>
      <x:c r="B6" s="24" t="str">
        <x:v>确认项</x:v>
      </x:c>
      <x:c r="C6" s="24" t="str">
        <x:v>系统口径</x:v>
      </x:c>
      <x:c r="D6" s="24" t="str">
        <x:v>产品影响</x:v>
      </x:c>
    </x:row>
    <x:row r="7" ht="39.599998474121094" hidden="0" customHeight="1">
      <x:c r="A7" s="25" t="str">
        <x:v>C1</x:v>
      </x:c>
      <x:c r="B7" s="25" t="str">
        <x:v>数据获取方式</x:v>
      </x:c>
      <x:c r="C7" s="25" t="str">
        <x:v>本地上传 + 数据库存储 + 可复算</x:v>
      </x:c>
      <x:c r="D7" s="25" t="str">
        <x:v>上传文件需要保存原始文件、解析结果和版本快照</x:v>
      </x:c>
    </x:row>
    <x:row r="8" ht="52.79999923706055" hidden="0" customHeight="1">
      <x:c r="A8" s="25" t="str">
        <x:v>C2</x:v>
      </x:c>
      <x:c r="B8" s="25" t="str">
        <x:v>金额精度</x:v>
      </x:c>
      <x:c r="C8" s="25" t="str">
        <x:v>金额展示与导出保留小数点后2位</x:v>
      </x:c>
      <x:c r="D8" s="25" t="str">
        <x:v>核算结果、差异金额、占比图标签统一2位；后台可保留原始单价</x:v>
      </x:c>
    </x:row>
    <x:row r="9" ht="26.399999618530273" hidden="0" customHeight="1">
      <x:c r="A9" s="25" t="str">
        <x:v>C3</x:v>
      </x:c>
      <x:c r="B9" s="25" t="str">
        <x:v>价格有效期</x:v>
      </x:c>
      <x:c r="C9" s="25" t="str">
        <x:v>暂不考虑</x:v>
      </x:c>
      <x:c r="D9" s="25" t="str">
        <x:v>价格匹配不按生效/失效日期筛选</x:v>
      </x:c>
    </x:row>
    <x:row r="10" ht="79.19999694824219" hidden="0" customHeight="1">
      <x:c r="A10" s="25" t="str">
        <x:v>C4</x:v>
      </x:c>
      <x:c r="B10" s="25" t="str">
        <x:v>价格缺失</x:v>
      </x:c>
      <x:c r="C10" s="25" t="str">
        <x:v>底表允许先入库；成本版本确认/发布阻断；dashboard 风险区必须展示缺价物料和所属工段</x:v>
      </x:c>
      <x:c r="D10" s="25" t="str">
        <x:v>解决数据暂存和正式核算阻断之间的冲突</x:v>
      </x:c>
    </x:row>
    <x:row r="11" ht="26.399999618530273" hidden="0" customHeight="1">
      <x:c r="A11" s="25" t="str">
        <x:v>C5</x:v>
      </x:c>
      <x:c r="B11" s="25" t="str">
        <x:v>币种</x:v>
      </x:c>
      <x:c r="C11" s="25" t="str">
        <x:v>暂时只考虑人民币 CNY</x:v>
      </x:c>
      <x:c r="D11" s="25" t="str">
        <x:v>非人民币上传阻断或提示不支持</x:v>
      </x:c>
    </x:row>
    <x:row r="12" ht="26.399999618530273" hidden="0" customHeight="1">
      <x:c r="A12" s="25" t="str">
        <x:v>C6</x:v>
      </x:c>
      <x:c r="B12" s="25" t="str">
        <x:v>BOM边界</x:v>
      </x:c>
      <x:c r="C12" s="25" t="str">
        <x:v>一个文件一个 SKU</x:v>
      </x:c>
      <x:c r="D12" s="25" t="str">
        <x:v>上传前必须选择/识别唯一 SKU</x:v>
      </x:c>
    </x:row>
    <x:row r="13" ht="26.399999618530273" hidden="0" customHeight="1">
      <x:c r="A13" s="25" t="str">
        <x:v>C7</x:v>
      </x:c>
      <x:c r="B13" s="25" t="str">
        <x:v>展示口径</x:v>
      </x:c>
      <x:c r="C13" s="25" t="str">
        <x:v>支持含税和不含税切换</x:v>
      </x:c>
      <x:c r="D13" s="25" t="str">
        <x:v>看板、明细、导出都带成本口径筛选</x:v>
      </x:c>
    </x:row>
    <x:row r="14" ht="52.79999923706055" hidden="0" customHeight="1">
      <x:c r="A14" s="25" t="str">
        <x:v>C8</x:v>
      </x:c>
      <x:c r="B14" s="25" t="str">
        <x:v>差异原因</x:v>
      </x:c>
      <x:c r="C14" s="25" t="str">
        <x:v>允许人工修订并保存</x:v>
      </x:c>
      <x:c r="D14" s="25" t="str">
        <x:v>版本差异表需要自动原因、人工原因、修订人、修订时间</x:v>
      </x:c>
    </x:row>
    <x:row r="15" ht="52.79999923706055" hidden="0" customHeight="1">
      <x:c r="A15" s="25" t="str">
        <x:v>C9</x:v>
      </x:c>
      <x:c r="B15" s="25" t="str">
        <x:v>上传方式</x:v>
      </x:c>
      <x:c r="C15" s="25" t="str">
        <x:v>不拆分 BOM/价格/委外上传，使用一张底表上传并解析</x:v>
      </x:c>
      <x:c r="D15" s="25" t="str">
        <x:v>上传中心改为单入口：底表上传</x:v>
      </x:c>
    </x:row>
    <x:row r="16"/>
    <x:row r="17"/>
    <x:row r="18" ht="15" hidden="0" customHeight="1">
      <x:c r="A18" s="18" t="str">
        <x:v>优先优化5点</x:v>
      </x:c>
    </x:row>
    <x:row r="19" ht="15" hidden="0" customHeight="1">
      <x:c r="A19" s="28" t="str">
        <x:v>优先级</x:v>
      </x:c>
      <x:c r="B19" s="28" t="str">
        <x:v>优化点</x:v>
      </x:c>
      <x:c r="C19" s="28" t="str">
        <x:v>为什么需要</x:v>
      </x:c>
      <x:c r="D19" s="28" t="str">
        <x:v>第一版落地方式</x:v>
      </x:c>
      <x:c r="E19" s="28" t="str">
        <x:v>验收标准</x:v>
      </x:c>
    </x:row>
    <x:row r="20" ht="79.19999694824219" hidden="0" customHeight="1">
      <x:c r="A20" s="25" t="str">
        <x:v>P0</x:v>
      </x:c>
      <x:c r="B20" s="25" t="str">
        <x:v>底表上传解析模型</x:v>
      </x:c>
      <x:c r="C20" s="25" t="str">
        <x:v>业务希望沿用一张底表，减少多文件维护成本</x:v>
      </x:c>
      <x:c r="D20" s="25" t="str">
        <x:v>解析 BOM 结构字段、采购单价、税率、委外加工费、备注等列，入库为标准化表</x:v>
      </x:c>
      <x:c r="E20" s="25" t="str">
        <x:v>一个文件一个 SKU，能生成 BOM 明细、价格明细、委外明细和上传校验报告</x:v>
      </x:c>
    </x:row>
    <x:row r="21" ht="39.599998474121094" hidden="0" customHeight="1">
      <x:c r="A21" s="25" t="str">
        <x:v>P0</x:v>
      </x:c>
      <x:c r="B21" s="25" t="str">
        <x:v>版本快照与可复算</x:v>
      </x:c>
      <x:c r="C21" s="25" t="str">
        <x:v>成本版本必须可追溯，且不受后续底表覆盖影响</x:v>
      </x:c>
      <x:c r="D21" s="25" t="str">
        <x:v>保存原始文件、解析快照、核算口径和成本结果</x:v>
      </x:c>
      <x:c r="E21" s="25" t="str">
        <x:v>任一版本可按当时快照重新核算并得到一致结果</x:v>
      </x:c>
    </x:row>
    <x:row r="22" ht="52.79999923706055" hidden="0" customHeight="1">
      <x:c r="A22" s="25" t="str">
        <x:v>P0</x:v>
      </x:c>
      <x:c r="B22" s="25" t="str">
        <x:v>缺价风险闭环</x:v>
      </x:c>
      <x:c r="C22" s="25" t="str">
        <x:v>允许先入库但正式核算不能失真</x:v>
      </x:c>
      <x:c r="D22" s="25" t="str">
        <x:v>缺价不阻断底表入库，阻断版本确认/发布，并进入 dashboard 风险区</x:v>
      </x:c>
      <x:c r="E22" s="25" t="str">
        <x:v>能列出缺价物料、所属工段、影响 SKU、当前状态</x:v>
      </x:c>
    </x:row>
    <x:row r="23" ht="52.79999923706055" hidden="0" customHeight="1">
      <x:c r="A23" s="25" t="str">
        <x:v>P0</x:v>
      </x:c>
      <x:c r="B23" s="25" t="str">
        <x:v>含税/不含税口径切换</x:v>
      </x:c>
      <x:c r="C23" s="25" t="str">
        <x:v>财务和经营看数口径不同</x:v>
      </x:c>
      <x:c r="D23" s="25" t="str">
        <x:v>采购单价含税入库，按税率反算不含税，所有看板支持切换</x:v>
      </x:c>
      <x:c r="E23" s="25" t="str">
        <x:v>同一版本可展示含税总成本和不含税总成本</x:v>
      </x:c>
    </x:row>
    <x:row r="24" ht="52.79999923706055" hidden="0" customHeight="1">
      <x:c r="A24" s="25" t="str">
        <x:v>P1</x:v>
      </x:c>
      <x:c r="B24" s="25" t="str">
        <x:v>差异原因人工修订</x:v>
      </x:c>
      <x:c r="C24" s="25" t="str">
        <x:v>自动识别只能解释变化类型，业务复盘需要人工原因</x:v>
      </x:c>
      <x:c r="D24" s="25" t="str">
        <x:v>差异明细保存自动原因、人工修订原因、修订人、修订时间</x:v>
      </x:c>
      <x:c r="E24" s="25" t="str">
        <x:v>修订后 dashboard 和导出显示最新人工原因并保留自动识别类型</x:v>
      </x:c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57.599998474121094" hidden="0" customHeight="1">
      <x:c r="A1" s="6" t="str">
        <x:v>上传中心 - 单底表上传原型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不再单独上传 BOM、物料价格、委外加工费；一张底表解析为多类标准数据</x:v>
      </x:c>
    </x:row>
    <x:row r="3"/>
    <x:row r="4" ht="15" hidden="0" customHeight="1">
      <x:c r="A4" s="31" t="str">
        <x:v>步骤</x:v>
      </x:c>
      <x:c r="B4" s="31" t="str">
        <x:v>页面区域</x:v>
      </x:c>
      <x:c r="C4" s="31" t="str">
        <x:v>用户动作</x:v>
      </x:c>
      <x:c r="D4" s="31" t="str">
        <x:v>系统处理</x:v>
      </x:c>
      <x:c r="E4" s="31" t="str">
        <x:v>结果/状态</x:v>
      </x:c>
      <x:c r="F4" s="31" t="str">
        <x:v>关键校验</x:v>
      </x:c>
    </x:row>
    <x:row r="5" ht="52.79999923706055" hidden="0" customHeight="1">
      <x:c r="A5" s="25" t="str">
        <x:v>1</x:v>
      </x:c>
      <x:c r="B5" s="25" t="str">
        <x:v>基础信息</x:v>
      </x:c>
      <x:c r="C5" s="25" t="str">
        <x:v>选择/填写 SKU、成本版本名称、上传人、成本口径默认值</x:v>
      </x:c>
      <x:c r="D5" s="25" t="str">
        <x:v>校验文件内 SKU 是否唯一且与页面 SKU 一致</x:v>
      </x:c>
      <x:c r="E5" s="25" t="str">
        <x:v>待上传</x:v>
      </x:c>
      <x:c r="F5" s="25" t="str">
        <x:v>一个文件一个 SKU</x:v>
      </x:c>
    </x:row>
    <x:row r="6" ht="39.599998474121094" hidden="0" customHeight="1">
      <x:c r="A6" s="25" t="str">
        <x:v>2</x:v>
      </x:c>
      <x:c r="B6" s="25" t="str">
        <x:v>底表上传</x:v>
      </x:c>
      <x:c r="C6" s="25" t="str">
        <x:v>上传参考 example-v2 结构的底表 Excel</x:v>
      </x:c>
      <x:c r="D6" s="25" t="str">
        <x:v>保存原始文件，识别表头和数据起始行</x:v>
      </x:c>
      <x:c r="E6" s="25" t="str">
        <x:v>已接收</x:v>
      </x:c>
      <x:c r="F6" s="25" t="str">
        <x:v>文件格式、表头识别</x:v>
      </x:c>
    </x:row>
    <x:row r="7" ht="39.599998474121094" hidden="0" customHeight="1">
      <x:c r="A7" s="25" t="str">
        <x:v>3</x:v>
      </x:c>
      <x:c r="B7" s="25" t="str">
        <x:v>字段映射</x:v>
      </x:c>
      <x:c r="C7" s="25" t="str">
        <x:v>确认系统识别出的 BOM、价格、委外、备注字段</x:v>
      </x:c>
      <x:c r="D7" s="25" t="str">
        <x:v>将宽表价格列解析为标准采购价格/委外价格字段</x:v>
      </x:c>
      <x:c r="E7" s="25" t="str">
        <x:v>待校验</x:v>
      </x:c>
      <x:c r="F7" s="25" t="str">
        <x:v>必填字段映射完整</x:v>
      </x:c>
    </x:row>
    <x:row r="8" ht="52.79999923706055" hidden="0" customHeight="1">
      <x:c r="A8" s="25" t="str">
        <x:v>4</x:v>
      </x:c>
      <x:c r="B8" s="25" t="str">
        <x:v>数据校验</x:v>
      </x:c>
      <x:c r="C8" s="25" t="str">
        <x:v>查看错误和警告</x:v>
      </x:c>
      <x:c r="D8" s="25" t="str">
        <x:v>校验缺字段、重复物料、BOM用量、末级、工段、价格、币种、税率</x:v>
      </x:c>
      <x:c r="E8" s="25" t="str">
        <x:v>可入库/不可入库</x:v>
      </x:c>
      <x:c r="F8" s="25" t="str">
        <x:v>缺价允许入库但标记风险</x:v>
      </x:c>
    </x:row>
    <x:row r="9" ht="66" hidden="0" customHeight="1">
      <x:c r="A9" s="25" t="str">
        <x:v>5</x:v>
      </x:c>
      <x:c r="B9" s="25" t="str">
        <x:v>入库与核算</x:v>
      </x:c>
      <x:c r="C9" s="25" t="str">
        <x:v>确认导入</x:v>
      </x:c>
      <x:c r="D9" s="25" t="str">
        <x:v>入库 BOM、解析价格、委外费、上传批次；若无缺价则生成可确认成本版本</x:v>
      </x:c>
      <x:c r="E9" s="25" t="str">
        <x:v>已入库/待补价/已核算</x:v>
      </x:c>
      <x:c r="F9" s="25" t="str">
        <x:v>价格缺失阻断确认/发布</x:v>
      </x:c>
    </x:row>
    <x:row r="10" ht="39.599998474121094" hidden="0" customHeight="1">
      <x:c r="A10" s="25" t="str">
        <x:v>6</x:v>
      </x:c>
      <x:c r="B10" s="25" t="str">
        <x:v>风险与看板</x:v>
      </x:c>
      <x:c r="C10" s="25" t="str">
        <x:v>进入 dashboard</x:v>
      </x:c>
      <x:c r="D10" s="25" t="str">
        <x:v>展示缺价物料、所属工段、缺价数量和版本状态</x:v>
      </x:c>
      <x:c r="E10" s="25" t="str">
        <x:v>风险可见</x:v>
      </x:c>
      <x:c r="F10" s="25" t="str">
        <x:v>风险不可被隐藏</x:v>
      </x:c>
    </x:row>
    <x:row r="11"/>
    <x:row r="12"/>
    <x:row r="13" ht="15" hidden="0" customHeight="1">
      <x:c r="A13" s="18" t="str">
        <x:v>状态定义</x:v>
      </x:c>
    </x:row>
    <x:row r="14" ht="15" hidden="0" customHeight="1">
      <x:c r="A14" s="24" t="str">
        <x:v>状态</x:v>
      </x:c>
      <x:c r="B14" s="24" t="str">
        <x:v>含义</x:v>
      </x:c>
      <x:c r="C14" s="24" t="str">
        <x:v>允许动作</x:v>
      </x:c>
      <x:c r="D14" s="24" t="str">
        <x:v>不允许动作</x:v>
      </x:c>
    </x:row>
    <x:row r="15" ht="26.399999618530273" hidden="0" customHeight="1">
      <x:c r="A15" s="25" t="str">
        <x:v>已入库-待补价</x:v>
      </x:c>
      <x:c r="B15" s="25" t="str">
        <x:v>底表已保存，存在缺失价格</x:v>
      </x:c>
      <x:c r="C15" s="25" t="str">
        <x:v>查看风险、补价、重新核算</x:v>
      </x:c>
      <x:c r="D15" s="25" t="str">
        <x:v>确认/发布成本版本</x:v>
      </x:c>
    </x:row>
    <x:row r="16" ht="26.399999618530273" hidden="0" customHeight="1">
      <x:c r="A16" s="25" t="str">
        <x:v>已核算-待确认</x:v>
      </x:c>
      <x:c r="B16" s="25" t="str">
        <x:v>价格完整，已生成核算结果</x:v>
      </x:c>
      <x:c r="C16" s="25" t="str">
        <x:v>查看明细、版本对比、人工修订原因</x:v>
      </x:c>
      <x:c r="D16" s="25" t="str">
        <x:v>覆盖原始底表</x:v>
      </x:c>
    </x:row>
    <x:row r="17" ht="26.399999618530273" hidden="0" customHeight="1">
      <x:c r="A17" s="25" t="str">
        <x:v>已确认</x:v>
      </x:c>
      <x:c r="B17" s="25" t="str">
        <x:v>财务确认版本</x:v>
      </x:c>
      <x:c r="C17" s="25" t="str">
        <x:v>导出、对比、发布 dashboard</x:v>
      </x:c>
      <x:c r="D17" s="25" t="str">
        <x:v>修改成本快照</x:v>
      </x:c>
    </x:row>
    <x:row r="18" ht="15" hidden="0" customHeight="1">
      <x:c r="A18" s="25" t="str">
        <x:v>已作废</x:v>
      </x:c>
      <x:c r="B18" s="25" t="str">
        <x:v>版本废弃</x:v>
      </x:c>
      <x:c r="C18" s="25" t="str">
        <x:v>查看历史</x:v>
      </x:c>
      <x:c r="D18" s="25" t="str">
        <x:v>参与默认对比</x:v>
      </x:c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8.400001525878906" hidden="0" customHeight="1">
      <x:c r="A1" s="6" t="str">
        <x:v>底表上传模板字段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参考 example-v2 的一张底表思路，但字段按系统标准化拆解</x:v>
      </x:c>
    </x:row>
    <x:row r="3"/>
    <x:row r="4" ht="15" hidden="0" customHeight="1">
      <x:c r="A4" s="31" t="str">
        <x:v>字段分组</x:v>
      </x:c>
      <x:c r="B4" s="31" t="str">
        <x:v>底表字段</x:v>
      </x:c>
      <x:c r="C4" s="31" t="str">
        <x:v>是否必填</x:v>
      </x:c>
      <x:c r="D4" s="31" t="str">
        <x:v>目标数据对象</x:v>
      </x:c>
      <x:c r="E4" s="31" t="str">
        <x:v>解析规则</x:v>
      </x:c>
      <x:c r="F4" s="31" t="str">
        <x:v>校验规则</x:v>
      </x:c>
    </x:row>
    <x:row r="5" ht="26.399999618530273" hidden="0" customHeight="1">
      <x:c r="A5" s="25" t="str">
        <x:v>BOM结构</x:v>
      </x:c>
      <x:c r="B5" s="25" t="str">
        <x:v>SKU</x:v>
      </x:c>
      <x:c r="C5" s="25" t="str">
        <x:v>是</x:v>
      </x:c>
      <x:c r="D5" s="25" t="str">
        <x:v>bom_item / cost_version</x:v>
      </x:c>
      <x:c r="E5" s="25" t="str">
        <x:v>同一文件只允许一个 SKU</x:v>
      </x:c>
      <x:c r="F5" s="25" t="str">
        <x:v>多 SKU 阻断</x:v>
      </x:c>
    </x:row>
    <x:row r="6" ht="26.399999618530273" hidden="0" customHeight="1">
      <x:c r="A6" s="25" t="str">
        <x:v>BOM结构</x:v>
      </x:c>
      <x:c r="B6" s="25" t="str">
        <x:v>层级</x:v>
      </x:c>
      <x:c r="C6" s="25" t="str">
        <x:v>是</x:v>
      </x:c>
      <x:c r="D6" s="25" t="str">
        <x:v>bom_item</x:v>
      </x:c>
      <x:c r="E6" s="25" t="str">
        <x:v>保留层级码，支持卷积验证</x:v>
      </x:c>
      <x:c r="F6" s="25" t="str">
        <x:v>为空阻断</x:v>
      </x:c>
    </x:row>
    <x:row r="7" ht="26.399999618530273" hidden="0" customHeight="1">
      <x:c r="A7" s="25" t="str">
        <x:v>BOM结构</x:v>
      </x:c>
      <x:c r="B7" s="25" t="str">
        <x:v>子物料编码</x:v>
      </x:c>
      <x:c r="C7" s="25" t="str">
        <x:v>是</x:v>
      </x:c>
      <x:c r="D7" s="25" t="str">
        <x:v>bom_item / price_item</x:v>
      </x:c>
      <x:c r="E7" s="25" t="str">
        <x:v>作为物料匹配键</x:v>
      </x:c>
      <x:c r="F7" s="25" t="str">
        <x:v>为空阻断</x:v>
      </x:c>
    </x:row>
    <x:row r="8" ht="15" hidden="0" customHeight="1">
      <x:c r="A8" s="25" t="str">
        <x:v>BOM结构</x:v>
      </x:c>
      <x:c r="B8" s="25" t="str">
        <x:v>子物料名称</x:v>
      </x:c>
      <x:c r="C8" s="25" t="str">
        <x:v>是</x:v>
      </x:c>
      <x:c r="D8" s="25" t="str">
        <x:v>bom_item</x:v>
      </x:c>
      <x:c r="E8" s="25" t="str">
        <x:v>文本入库</x:v>
      </x:c>
      <x:c r="F8" s="25" t="str">
        <x:v>为空阻断</x:v>
      </x:c>
    </x:row>
    <x:row r="9" ht="15" hidden="0" customHeight="1">
      <x:c r="A9" s="25" t="str">
        <x:v>BOM结构</x:v>
      </x:c>
      <x:c r="B9" s="25" t="str">
        <x:v>子物料规格</x:v>
      </x:c>
      <x:c r="C9" s="25" t="str">
        <x:v>建议</x:v>
      </x:c>
      <x:c r="D9" s="25" t="str">
        <x:v>bom_item</x:v>
      </x:c>
      <x:c r="E9" s="25" t="str">
        <x:v>用于规格变化对比</x:v>
      </x:c>
      <x:c r="F9" s="25" t="str">
        <x:v>为空允许</x:v>
      </x:c>
    </x:row>
    <x:row r="10" ht="15" hidden="0" customHeight="1">
      <x:c r="A10" s="25" t="str">
        <x:v>BOM结构</x:v>
      </x:c>
      <x:c r="B10" s="25" t="str">
        <x:v>子物料生产方式</x:v>
      </x:c>
      <x:c r="C10" s="25" t="str">
        <x:v>建议</x:v>
      </x:c>
      <x:c r="D10" s="25" t="str">
        <x:v>bom_item</x:v>
      </x:c>
      <x:c r="E10" s="25" t="str">
        <x:v>外购/委外/自制</x:v>
      </x:c>
      <x:c r="F10" s="25" t="str">
        <x:v>字典提示</x:v>
      </x:c>
    </x:row>
    <x:row r="11" ht="15" hidden="0" customHeight="1">
      <x:c r="A11" s="25" t="str">
        <x:v>BOM结构</x:v>
      </x:c>
      <x:c r="B11" s="25" t="str">
        <x:v>子项类型</x:v>
      </x:c>
      <x:c r="C11" s="25" t="str">
        <x:v>建议</x:v>
      </x:c>
      <x:c r="D11" s="25" t="str">
        <x:v>bom_item</x:v>
      </x:c>
      <x:c r="E11" s="25" t="str">
        <x:v>标准件/虚拟件等</x:v>
      </x:c>
      <x:c r="F11" s="25" t="str">
        <x:v>字典提示</x:v>
      </x:c>
    </x:row>
    <x:row r="12" ht="26.399999618530273" hidden="0" customHeight="1">
      <x:c r="A12" s="25" t="str">
        <x:v>BOM结构</x:v>
      </x:c>
      <x:c r="B12" s="25" t="str">
        <x:v>工段分类</x:v>
      </x:c>
      <x:c r="C12" s="25" t="str">
        <x:v>末级必填</x:v>
      </x:c>
      <x:c r="D12" s="25" t="str">
        <x:v>bom_item / stage_summary</x:v>
      </x:c>
      <x:c r="E12" s="25" t="str">
        <x:v>用于工段汇总和风险定位</x:v>
      </x:c>
      <x:c r="F12" s="25" t="str">
        <x:v>末级为空阻断</x:v>
      </x:c>
    </x:row>
    <x:row r="13" ht="26.399999618530273" hidden="0" customHeight="1">
      <x:c r="A13" s="25" t="str">
        <x:v>BOM结构</x:v>
      </x:c>
      <x:c r="B13" s="25" t="str">
        <x:v>物料分类</x:v>
      </x:c>
      <x:c r="C13" s="25" t="str">
        <x:v>建议</x:v>
      </x:c>
      <x:c r="D13" s="25" t="str">
        <x:v>bom_item</x:v>
      </x:c>
      <x:c r="E13" s="25" t="str">
        <x:v>用于 dashboard 筛选</x:v>
      </x:c>
      <x:c r="F13" s="25" t="str">
        <x:v>为空允许</x:v>
      </x:c>
    </x:row>
    <x:row r="14" ht="15" hidden="0" customHeight="1">
      <x:c r="A14" s="25" t="str">
        <x:v>BOM结构</x:v>
      </x:c>
      <x:c r="B14" s="25" t="str">
        <x:v>功能目的</x:v>
      </x:c>
      <x:c r="C14" s="25" t="str">
        <x:v>建议</x:v>
      </x:c>
      <x:c r="D14" s="25" t="str">
        <x:v>bom_item</x:v>
      </x:c>
      <x:c r="E14" s="25" t="str">
        <x:v>经营分析辅助字段</x:v>
      </x:c>
      <x:c r="F14" s="25" t="str">
        <x:v>为空允许</x:v>
      </x:c>
    </x:row>
    <x:row r="15" ht="26.399999618530273" hidden="0" customHeight="1">
      <x:c r="A15" s="25" t="str">
        <x:v>BOM结构</x:v>
      </x:c>
      <x:c r="B15" s="25" t="str">
        <x:v>变更原因</x:v>
      </x:c>
      <x:c r="C15" s="25" t="str">
        <x:v>建议</x:v>
      </x:c>
      <x:c r="D15" s="25" t="str">
        <x:v>version_diff</x:v>
      </x:c>
      <x:c r="E15" s="25" t="str">
        <x:v>自动带入差异原因候选</x:v>
      </x:c>
      <x:c r="F15" s="25" t="str">
        <x:v>为空允许</x:v>
      </x:c>
    </x:row>
    <x:row r="16" ht="15" hidden="0" customHeight="1">
      <x:c r="A16" s="25" t="str">
        <x:v>BOM结构</x:v>
      </x:c>
      <x:c r="B16" s="25" t="str">
        <x:v>单位</x:v>
      </x:c>
      <x:c r="C16" s="25" t="str">
        <x:v>是</x:v>
      </x:c>
      <x:c r="D16" s="25" t="str">
        <x:v>bom_item</x:v>
      </x:c>
      <x:c r="E16" s="25" t="str">
        <x:v>单位文本</x:v>
      </x:c>
      <x:c r="F16" s="25" t="str">
        <x:v>为空阻断</x:v>
      </x:c>
    </x:row>
    <x:row r="17" ht="15" hidden="0" customHeight="1">
      <x:c r="A17" s="25" t="str">
        <x:v>BOM结构</x:v>
      </x:c>
      <x:c r="B17" s="25" t="str">
        <x:v>BOM用量</x:v>
      </x:c>
      <x:c r="C17" s="25" t="str">
        <x:v>是</x:v>
      </x:c>
      <x:c r="D17" s="25" t="str">
        <x:v>bom_item</x:v>
      </x:c>
      <x:c r="E17" s="25" t="str">
        <x:v>参与成本计算</x:v>
      </x:c>
      <x:c r="F17" s="25" t="str">
        <x:v>非数字、&lt;=0 阻断</x:v>
      </x:c>
    </x:row>
    <x:row r="18" ht="15" hidden="0" customHeight="1">
      <x:c r="A18" s="25" t="str">
        <x:v>BOM结构</x:v>
      </x:c>
      <x:c r="B18" s="25" t="str">
        <x:v>是否末级</x:v>
      </x:c>
      <x:c r="C18" s="25" t="str">
        <x:v>是</x:v>
      </x:c>
      <x:c r="D18" s="25" t="str">
        <x:v>bom_item</x:v>
      </x:c>
      <x:c r="E18" s="25" t="str">
        <x:v>是否参与直接核算</x:v>
      </x:c>
      <x:c r="F18" s="25" t="str">
        <x:v>值异常阻断</x:v>
      </x:c>
    </x:row>
    <x:row r="19" ht="26.399999618530273" hidden="0" customHeight="1">
      <x:c r="A19" s="25" t="str">
        <x:v>采购价格</x:v>
      </x:c>
      <x:c r="B19" s="25" t="str">
        <x:v>采购单价/一供单价/当前单价</x:v>
      </x:c>
      <x:c r="C19" s="25" t="str">
        <x:v>末级建议</x:v>
      </x:c>
      <x:c r="D19" s="25" t="str">
        <x:v>price_item</x:v>
      </x:c>
      <x:c r="E19" s="25" t="str">
        <x:v>解析为采购单价含税</x:v>
      </x:c>
      <x:c r="F19" s="25" t="str">
        <x:v>缺失允许入库但标记缺价风险</x:v>
      </x:c>
    </x:row>
    <x:row r="20" ht="26.399999618530273" hidden="0" customHeight="1">
      <x:c r="A20" s="25" t="str">
        <x:v>采购价格</x:v>
      </x:c>
      <x:c r="B20" s="25" t="str">
        <x:v>税率</x:v>
      </x:c>
      <x:c r="C20" s="25" t="str">
        <x:v>建议</x:v>
      </x:c>
      <x:c r="D20" s="25" t="str">
        <x:v>price_item</x:v>
      </x:c>
      <x:c r="E20" s="25" t="str">
        <x:v>用于不含税反算</x:v>
      </x:c>
      <x:c r="F20" s="25" t="str">
        <x:v>缺失则默认待确认；非数字提示</x:v>
      </x:c>
    </x:row>
    <x:row r="21" ht="15" hidden="0" customHeight="1">
      <x:c r="A21" s="25" t="str">
        <x:v>采购价格</x:v>
      </x:c>
      <x:c r="B21" s="25" t="str">
        <x:v>币种</x:v>
      </x:c>
      <x:c r="C21" s="25" t="str">
        <x:v>建议</x:v>
      </x:c>
      <x:c r="D21" s="25" t="str">
        <x:v>price_item</x:v>
      </x:c>
      <x:c r="E21" s="25" t="str">
        <x:v>第一版仅 CNY</x:v>
      </x:c>
      <x:c r="F21" s="25" t="str">
        <x:v>非 CNY 阻断</x:v>
      </x:c>
    </x:row>
    <x:row r="22" ht="26.399999618530273" hidden="0" customHeight="1">
      <x:c r="A22" s="25" t="str">
        <x:v>委外加工</x:v>
      </x:c>
      <x:c r="B22" s="25" t="str">
        <x:v>委外加工费/加工单价</x:v>
      </x:c>
      <x:c r="C22" s="25" t="str">
        <x:v>否</x:v>
      </x:c>
      <x:c r="D22" s="25" t="str">
        <x:v>outsourcing_fee</x:v>
      </x:c>
      <x:c r="E22" s="25" t="str">
        <x:v>解析为委外加工单价</x:v>
      </x:c>
      <x:c r="F22" s="25" t="str">
        <x:v>为空按 0 处理</x:v>
      </x:c>
    </x:row>
    <x:row r="23" ht="26.399999618530273" hidden="0" customHeight="1">
      <x:c r="A23" s="25" t="str">
        <x:v>备注</x:v>
      </x:c>
      <x:c r="B23" s="25" t="str">
        <x:v>备注/价格说明</x:v>
      </x:c>
      <x:c r="C23" s="25" t="str">
        <x:v>否</x:v>
      </x:c>
      <x:c r="D23" s="25" t="str">
        <x:v>upload_parse_note</x:v>
      </x:c>
      <x:c r="E23" s="25" t="str">
        <x:v>保存到解析备注</x:v>
      </x:c>
      <x:c r="F23" s="25" t="str">
        <x:v>不参与核算</x:v>
      </x:c>
    </x:row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96" hidden="0" customHeight="1">
      <x:c r="A1" s="6" t="str">
        <x:v>产品成本看板 - 含税/不含税与缺价风险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dashboard 必须把缺价物料和所属工段直接暴露出来</x:v>
      </x:c>
    </x:row>
    <x:row r="3"/>
    <x:row r="4" ht="15" hidden="0" customHeight="1">
      <x:c r="A4" s="33" t="str">
        <x:v>筛选区</x:v>
      </x:c>
      <x:c r="B4" s="33" t="str">
        <x:v>BU</x:v>
      </x:c>
      <x:c r="C4" s="33" t="str">
        <x:v>全部</x:v>
      </x:c>
      <x:c r="D4" s="33" t="str">
        <x:v>产品/SKU</x:v>
      </x:c>
      <x:c r="E4" s="33" t="str">
        <x:v>SKU-001</x:v>
      </x:c>
      <x:c r="F4" s="33" t="str">
        <x:v>成本版本</x:v>
      </x:c>
      <x:c r="G4" s="33" t="str">
        <x:v>V2026.05.07</x:v>
      </x:c>
      <x:c r="H4" s="33" t="str">
        <x:v>对比版本</x:v>
      </x:c>
      <x:c r="I4" s="33" t="str">
        <x:v>上一版本</x:v>
      </x:c>
      <x:c r="J4" s="33" t="str">
        <x:v>成本口径</x:v>
      </x:c>
      <x:c r="K4" s="33" t="str">
        <x:v>含税</x:v>
      </x:c>
      <x:c r="L4" s="33" t="str">
        <x:v>导出</x:v>
      </x:c>
    </x:row>
    <x:row r="5" ht="15" hidden="0" customHeight="1">
      <x:c r="A5" s="33" t="str"/>
      <x:c r="B5" s="33" t="str">
        <x:v>工段</x:v>
      </x:c>
      <x:c r="C5" s="33" t="str">
        <x:v>全部</x:v>
      </x:c>
      <x:c r="D5" s="33" t="str">
        <x:v>物料分类</x:v>
      </x:c>
      <x:c r="E5" s="33" t="str">
        <x:v>全部</x:v>
      </x:c>
      <x:c r="F5" s="33" t="str">
        <x:v>只看差异</x:v>
      </x:c>
      <x:c r="G5" s="33" t="str">
        <x:v>否</x:v>
      </x:c>
      <x:c r="H5" s="33" t="str">
        <x:v>风险状态</x:v>
      </x:c>
      <x:c r="I5" s="33" t="str">
        <x:v>含缺价</x:v>
      </x:c>
      <x:c r="J5" s="33" t="str">
        <x:v>币种</x:v>
      </x:c>
      <x:c r="K5" s="33" t="str">
        <x:v>CNY</x:v>
      </x:c>
      <x:c r="L5" s="33" t="str">
        <x:v>Excel</x:v>
      </x:c>
    </x:row>
    <x:row r="6"/>
    <x:row r="7" ht="15" hidden="0" customHeight="1">
      <x:c r="A7" s="31" t="str">
        <x:v>指标</x:v>
      </x:c>
      <x:c r="B7" s="31" t="str">
        <x:v>数值</x:v>
      </x:c>
      <x:c r="C7" s="31" t="str">
        <x:v>解释</x:v>
      </x:c>
      <x:c r="E7" s="28" t="str">
        <x:v>工段分类</x:v>
      </x:c>
      <x:c r="F7" s="28" t="str">
        <x:v>含税成本</x:v>
      </x:c>
      <x:c r="G7" s="28" t="str">
        <x:v>不含税成本</x:v>
      </x:c>
      <x:c r="H7" s="28" t="str">
        <x:v>上一版本</x:v>
      </x:c>
      <x:c r="I7" s="28" t="str">
        <x:v>差异金额</x:v>
      </x:c>
      <x:c r="J7" s="28" t="str">
        <x:v>差异比例</x:v>
      </x:c>
    </x:row>
    <x:row r="8" ht="39.599998474121094" hidden="0" customHeight="1">
      <x:c r="A8" s="25" t="str">
        <x:v>产品总成本</x:v>
      </x:c>
      <x:c r="B8" s="34" t="n">
        <x:v>128.86</x:v>
      </x:c>
      <x:c r="C8" s="25" t="str">
        <x:v>按当前成本口径展示；金额保留2位</x:v>
      </x:c>
      <x:c r="E8" s="25" t="str">
        <x:v>PCBA</x:v>
      </x:c>
      <x:c r="F8" s="34" t="n">
        <x:v>36.2</x:v>
      </x:c>
      <x:c r="G8" s="34" t="n">
        <x:v>32.04</x:v>
      </x:c>
      <x:c r="H8" s="34" t="n">
        <x:v>33.1</x:v>
      </x:c>
      <x:c r="I8" s="34" t="n">
        <x:v>3.1</x:v>
      </x:c>
      <x:c r="J8" s="35" t="n">
        <x:v>0.094</x:v>
      </x:c>
    </x:row>
    <x:row r="9" ht="26.399999618530273" hidden="0" customHeight="1">
      <x:c r="A9" s="25" t="str">
        <x:v>较上一版本差异金额</x:v>
      </x:c>
      <x:c r="B9" s="34" t="n">
        <x:v>5.42</x:v>
      </x:c>
      <x:c r="C9" s="25" t="str">
        <x:v>当前版本 - 上一版本</x:v>
      </x:c>
      <x:c r="E9" s="25" t="str">
        <x:v>结构件</x:v>
      </x:c>
      <x:c r="F9" s="34" t="n">
        <x:v>28.5</x:v>
      </x:c>
      <x:c r="G9" s="34" t="n">
        <x:v>25.22</x:v>
      </x:c>
      <x:c r="H9" s="34" t="n">
        <x:v>26.8</x:v>
      </x:c>
      <x:c r="I9" s="34" t="n">
        <x:v>1.7</x:v>
      </x:c>
      <x:c r="J9" s="35" t="n">
        <x:v>0.063</x:v>
      </x:c>
    </x:row>
    <x:row r="10" ht="26.399999618530273" hidden="0" customHeight="1">
      <x:c r="A10" s="25" t="str">
        <x:v>较上一版本差异比例</x:v>
      </x:c>
      <x:c r="B10" s="35" t="n">
        <x:v>0.044</x:v>
      </x:c>
      <x:c r="C10" s="25" t="str">
        <x:v>差异金额 / 上一版本成本</x:v>
      </x:c>
      <x:c r="E10" s="25" t="str">
        <x:v>电机</x:v>
      </x:c>
      <x:c r="F10" s="34" t="n">
        <x:v>16.7</x:v>
      </x:c>
      <x:c r="G10" s="34" t="n">
        <x:v>14.78</x:v>
      </x:c>
      <x:c r="H10" s="34" t="n">
        <x:v>17.2</x:v>
      </x:c>
      <x:c r="I10" s="34" t="n">
        <x:v>-0.5</x:v>
      </x:c>
      <x:c r="J10" s="35" t="n">
        <x:v>-0.029</x:v>
      </x:c>
    </x:row>
    <x:row r="11" ht="15" hidden="0" customHeight="1">
      <x:c r="A11" s="25" t="str">
        <x:v>最大成本工段</x:v>
      </x:c>
      <x:c r="B11" s="25" t="str">
        <x:v>PCBA</x:v>
      </x:c>
      <x:c r="C11" s="25" t="str">
        <x:v>工段成本最高</x:v>
      </x:c>
      <x:c r="E11" s="25" t="str">
        <x:v>电池</x:v>
      </x:c>
      <x:c r="F11" s="34" t="n">
        <x:v>15.95</x:v>
      </x:c>
      <x:c r="G11" s="34" t="n">
        <x:v>14.12</x:v>
      </x:c>
      <x:c r="H11" s="34" t="n">
        <x:v>15.8</x:v>
      </x:c>
      <x:c r="I11" s="34" t="n">
        <x:v>0.15</x:v>
      </x:c>
      <x:c r="J11" s="35" t="n">
        <x:v>0.009</x:v>
      </x:c>
    </x:row>
    <x:row r="12" ht="15" hidden="0" customHeight="1">
      <x:c r="A12" s="25" t="str">
        <x:v>最大上涨工段</x:v>
      </x:c>
      <x:c r="B12" s="25" t="str">
        <x:v>结构件</x:v>
      </x:c>
      <x:c r="C12" s="25" t="str">
        <x:v>上涨金额最高</x:v>
      </x:c>
      <x:c r="E12" s="25" t="str">
        <x:v>包装</x:v>
      </x:c>
      <x:c r="F12" s="34" t="n">
        <x:v>5.1</x:v>
      </x:c>
      <x:c r="G12" s="34" t="n">
        <x:v>4.51</x:v>
      </x:c>
      <x:c r="H12" s="34" t="n">
        <x:v>5.3</x:v>
      </x:c>
      <x:c r="I12" s="34" t="n">
        <x:v>-0.2</x:v>
      </x:c>
      <x:c r="J12" s="35" t="n">
        <x:v>-0.038</x:v>
      </x:c>
    </x:row>
    <x:row r="13" ht="39.599998474121094" hidden="0" customHeight="1">
      <x:c r="A13" s="25" t="str">
        <x:v>缺失价格物料数</x:v>
      </x:c>
      <x:c r="B13" s="25" t="n">
        <x:v>3</x:v>
      </x:c>
      <x:c r="C13" s="25" t="str">
        <x:v>底表已入库但缺采购价格的末级物料</x:v>
      </x:c>
    </x:row>
    <x:row r="14"/>
    <x:row r="15"/>
    <x:row r="16" ht="15" hidden="0" customHeight="1">
      <x:c r="A16" s="39" t="str">
        <x:v>缺价风险明细</x:v>
      </x:c>
    </x:row>
    <x:row r="17" ht="15" hidden="0" customHeight="1">
      <x:c r="A17" s="42" t="str">
        <x:v>风险级别</x:v>
      </x:c>
      <x:c r="B17" s="42" t="str">
        <x:v>SKU</x:v>
      </x:c>
      <x:c r="C17" s="42" t="str">
        <x:v>成本版本</x:v>
      </x:c>
      <x:c r="D17" s="42" t="str">
        <x:v>物料编码</x:v>
      </x:c>
      <x:c r="E17" s="42" t="str">
        <x:v>物料名称</x:v>
      </x:c>
      <x:c r="F17" s="42" t="str">
        <x:v>所属工段</x:v>
      </x:c>
      <x:c r="G17" s="42" t="str">
        <x:v>BOM用量</x:v>
      </x:c>
      <x:c r="H17" s="42" t="str">
        <x:v>缺失字段</x:v>
      </x:c>
      <x:c r="I17" s="42" t="str">
        <x:v>处理状态</x:v>
      </x:c>
      <x:c r="J17" s="42" t="str">
        <x:v>影响</x:v>
      </x:c>
    </x:row>
    <x:row r="18" ht="26.399999618530273" hidden="0" customHeight="1">
      <x:c r="A18" s="25" t="str">
        <x:v>高</x:v>
      </x:c>
      <x:c r="B18" s="25" t="str">
        <x:v>SKU-001</x:v>
      </x:c>
      <x:c r="C18" s="25" t="str">
        <x:v>V2026.05.07</x:v>
      </x:c>
      <x:c r="D18" s="25" t="str">
        <x:v>MAT-001</x:v>
      </x:c>
      <x:c r="E18" s="25" t="str">
        <x:v>示例物料A</x:v>
      </x:c>
      <x:c r="F18" s="25" t="str">
        <x:v>PCBA</x:v>
      </x:c>
      <x:c r="G18" s="25" t="n">
        <x:v>2</x:v>
      </x:c>
      <x:c r="H18" s="25" t="str">
        <x:v>采购单价</x:v>
      </x:c>
      <x:c r="I18" s="25" t="str">
        <x:v>待补价</x:v>
      </x:c>
      <x:c r="J18" s="25" t="str">
        <x:v>阻断成本版本确认/发布</x:v>
      </x:c>
    </x:row>
    <x:row r="19" ht="26.399999618530273" hidden="0" customHeight="1">
      <x:c r="A19" s="25" t="str">
        <x:v>高</x:v>
      </x:c>
      <x:c r="B19" s="25" t="str">
        <x:v>SKU-001</x:v>
      </x:c>
      <x:c r="C19" s="25" t="str">
        <x:v>V2026.05.07</x:v>
      </x:c>
      <x:c r="D19" s="25" t="str">
        <x:v>MAT-002</x:v>
      </x:c>
      <x:c r="E19" s="25" t="str">
        <x:v>示例物料B</x:v>
      </x:c>
      <x:c r="F19" s="25" t="str">
        <x:v>结构件</x:v>
      </x:c>
      <x:c r="G19" s="25" t="n">
        <x:v>1</x:v>
      </x:c>
      <x:c r="H19" s="25" t="str">
        <x:v>采购单价</x:v>
      </x:c>
      <x:c r="I19" s="25" t="str">
        <x:v>待补价</x:v>
      </x:c>
      <x:c r="J19" s="25" t="str">
        <x:v>阻断成本版本确认/发布</x:v>
      </x:c>
    </x:row>
    <x:row r="20" ht="26.399999618530273" hidden="0" customHeight="1">
      <x:c r="A20" s="25" t="str">
        <x:v>中</x:v>
      </x:c>
      <x:c r="B20" s="25" t="str">
        <x:v>SKU-001</x:v>
      </x:c>
      <x:c r="C20" s="25" t="str">
        <x:v>V2026.05.07</x:v>
      </x:c>
      <x:c r="D20" s="25" t="str">
        <x:v>MAT-003</x:v>
      </x:c>
      <x:c r="E20" s="25" t="str">
        <x:v>示例物料C</x:v>
      </x:c>
      <x:c r="F20" s="25" t="str">
        <x:v>包装</x:v>
      </x:c>
      <x:c r="G20" s="25" t="n">
        <x:v>1</x:v>
      </x:c>
      <x:c r="H20" s="25" t="str">
        <x:v>税率</x:v>
      </x:c>
      <x:c r="I20" s="25" t="str">
        <x:v>待确认</x:v>
      </x:c>
      <x:c r="J20" s="25" t="str">
        <x:v>不含税口径待确认</x:v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f891de7770f04672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76.80000305175781" hidden="0" customHeight="1">
      <x:c r="A1" s="6" t="str">
        <x:v>核算与版本对比 - 金额2位、原因可修订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核算明细支持含税/不含税；版本差异原因可人工修订并保存</x:v>
      </x:c>
    </x:row>
    <x:row r="3"/>
    <x:row r="4" ht="15" hidden="0" customHeight="1">
      <x:c r="A4" s="31" t="str">
        <x:v>SKU</x:v>
      </x:c>
      <x:c r="B4" s="31" t="str">
        <x:v>版本</x:v>
      </x:c>
      <x:c r="C4" s="31" t="str">
        <x:v>工段</x:v>
      </x:c>
      <x:c r="D4" s="31" t="str">
        <x:v>物料编码</x:v>
      </x:c>
      <x:c r="E4" s="31" t="str">
        <x:v>物料名称</x:v>
      </x:c>
      <x:c r="F4" s="31" t="str">
        <x:v>用量</x:v>
      </x:c>
      <x:c r="G4" s="31" t="str">
        <x:v>采购单价含税</x:v>
      </x:c>
      <x:c r="H4" s="31" t="str">
        <x:v>税率</x:v>
      </x:c>
      <x:c r="I4" s="31" t="str">
        <x:v>委外加工费</x:v>
      </x:c>
      <x:c r="J4" s="31" t="str">
        <x:v>含税物料成本</x:v>
      </x:c>
      <x:c r="K4" s="31" t="str">
        <x:v>不含税物料成本</x:v>
      </x:c>
      <x:c r="L4" s="31" t="str">
        <x:v>单项含税总成本</x:v>
      </x:c>
    </x:row>
    <x:row r="5" ht="15" hidden="0" customHeight="1">
      <x:c r="A5" s="25" t="str">
        <x:v>SKU-001</x:v>
      </x:c>
      <x:c r="B5" s="25" t="str">
        <x:v>V2026.05</x:v>
      </x:c>
      <x:c r="C5" s="25" t="str">
        <x:v>PCBA</x:v>
      </x:c>
      <x:c r="D5" s="25" t="str">
        <x:v>IC-001</x:v>
      </x:c>
      <x:c r="E5" s="25" t="str">
        <x:v>驱动 IC</x:v>
      </x:c>
      <x:c r="F5" s="25" t="n">
        <x:v>2</x:v>
      </x:c>
      <x:c r="G5" s="34" t="n">
        <x:v>12.2</x:v>
      </x:c>
      <x:c r="H5" s="43" t="n">
        <x:v>0.13</x:v>
      </x:c>
      <x:c r="I5" s="34" t="n">
        <x:v>0</x:v>
      </x:c>
      <x:c r="J5" s="34" t="n">
        <x:f>ROUND(F5*G5,2)</x:f>
        <x:v>24.4</x:v>
      </x:c>
      <x:c r="K5" s="34" t="n">
        <x:f>ROUND(J5/(1+H5),2)</x:f>
        <x:v>21.59</x:v>
      </x:c>
      <x:c r="L5" s="34" t="n">
        <x:f>ROUND(J5+F5*I5,2)</x:f>
        <x:v>24.4</x:v>
      </x:c>
    </x:row>
    <x:row r="6" ht="15" hidden="0" customHeight="1">
      <x:c r="A6" s="25" t="str">
        <x:v>SKU-001</x:v>
      </x:c>
      <x:c r="B6" s="25" t="str">
        <x:v>V2026.05</x:v>
      </x:c>
      <x:c r="C6" s="25" t="str">
        <x:v>结构件</x:v>
      </x:c>
      <x:c r="D6" s="25" t="str">
        <x:v>SHELL-001</x:v>
      </x:c>
      <x:c r="E6" s="25" t="str">
        <x:v>外壳</x:v>
      </x:c>
      <x:c r="F6" s="25" t="n">
        <x:v>1</x:v>
      </x:c>
      <x:c r="G6" s="34" t="n">
        <x:v>16.53</x:v>
      </x:c>
      <x:c r="H6" s="43" t="n">
        <x:v>0.13</x:v>
      </x:c>
      <x:c r="I6" s="34" t="n">
        <x:v>0</x:v>
      </x:c>
      <x:c r="J6" s="34" t="n">
        <x:f>ROUND(F6*G6,2)</x:f>
        <x:v>16.53</x:v>
      </x:c>
      <x:c r="K6" s="34" t="n">
        <x:f>ROUND(J6/(1+H6),2)</x:f>
        <x:v>14.63</x:v>
      </x:c>
      <x:c r="L6" s="34" t="n">
        <x:f>ROUND(J6+F6*I6,2)</x:f>
        <x:v>16.53</x:v>
      </x:c>
    </x:row>
    <x:row r="7" ht="15" hidden="0" customHeight="1">
      <x:c r="A7" s="25" t="str">
        <x:v>SKU-001</x:v>
      </x:c>
      <x:c r="B7" s="25" t="str">
        <x:v>V2026.05</x:v>
      </x:c>
      <x:c r="C7" s="25" t="str">
        <x:v>电机</x:v>
      </x:c>
      <x:c r="D7" s="25" t="str">
        <x:v>MOTOR-001</x:v>
      </x:c>
      <x:c r="E7" s="25" t="str">
        <x:v>声波电机</x:v>
      </x:c>
      <x:c r="F7" s="25" t="n">
        <x:v>1</x:v>
      </x:c>
      <x:c r="G7" s="34" t="n">
        <x:v>16.7</x:v>
      </x:c>
      <x:c r="H7" s="43" t="n">
        <x:v>0.13</x:v>
      </x:c>
      <x:c r="I7" s="34" t="n">
        <x:v>0</x:v>
      </x:c>
      <x:c r="J7" s="34" t="n">
        <x:f>ROUND(F7*G7,2)</x:f>
        <x:v>16.7</x:v>
      </x:c>
      <x:c r="K7" s="34" t="n">
        <x:f>ROUND(J7/(1+H7),2)</x:f>
        <x:v>14.78</x:v>
      </x:c>
      <x:c r="L7" s="34" t="n">
        <x:f>ROUND(J7+F7*I7,2)</x:f>
        <x:v>16.7</x:v>
      </x:c>
    </x:row>
    <x:row r="8"/>
    <x:row r="9"/>
    <x:row r="10"/>
    <x:row r="11" ht="15" hidden="0" customHeight="1">
      <x:c r="A11" s="18" t="str">
        <x:v>版本差异明细与人工修订</x:v>
      </x:c>
    </x:row>
    <x:row r="12" ht="15" hidden="0" customHeight="1">
      <x:c r="A12" s="28" t="str">
        <x:v>物料编码</x:v>
      </x:c>
      <x:c r="B12" s="28" t="str">
        <x:v>物料名称</x:v>
      </x:c>
      <x:c r="C12" s="28" t="str">
        <x:v>自动差异类型</x:v>
      </x:c>
      <x:c r="D12" s="28" t="str">
        <x:v>上一版本成本</x:v>
      </x:c>
      <x:c r="E12" s="28" t="str">
        <x:v>当前版本成本</x:v>
      </x:c>
      <x:c r="F12" s="28" t="str">
        <x:v>差异金额</x:v>
      </x:c>
      <x:c r="G12" s="28" t="str">
        <x:v>差异比例</x:v>
      </x:c>
      <x:c r="H12" s="28" t="str">
        <x:v>自动原因</x:v>
      </x:c>
      <x:c r="I12" s="28" t="str">
        <x:v>人工修订原因</x:v>
      </x:c>
      <x:c r="J12" s="28" t="str">
        <x:v>修订人</x:v>
      </x:c>
      <x:c r="K12" s="28" t="str">
        <x:v>修订时间</x:v>
      </x:c>
      <x:c r="L12" s="28" t="str">
        <x:v>保存状态</x:v>
      </x:c>
    </x:row>
    <x:row r="13" ht="26.399999618530273" hidden="0" customHeight="1">
      <x:c r="A13" s="25" t="str">
        <x:v>IC-001</x:v>
      </x:c>
      <x:c r="B13" s="25" t="str">
        <x:v>驱动 IC</x:v>
      </x:c>
      <x:c r="C13" s="25" t="str">
        <x:v>单价变化</x:v>
      </x:c>
      <x:c r="D13" s="34" t="n">
        <x:v>21.3</x:v>
      </x:c>
      <x:c r="E13" s="34" t="n">
        <x:v>24.4</x:v>
      </x:c>
      <x:c r="F13" s="34" t="n">
        <x:v>3.1</x:v>
      </x:c>
      <x:c r="G13" s="35" t="n">
        <x:v>0.146</x:v>
      </x:c>
      <x:c r="H13" s="25" t="str">
        <x:v>采购单价变化</x:v>
      </x:c>
      <x:c r="I13" s="25" t="str">
        <x:v>供应商涨价，二供验证中</x:v>
      </x:c>
      <x:c r="J13" s="25" t="str">
        <x:v>财务A</x:v>
      </x:c>
      <x:c r="K13" s="25" t="str">
        <x:v>2026-05-07</x:v>
      </x:c>
      <x:c r="L13" s="25" t="str">
        <x:v>已保存</x:v>
      </x:c>
    </x:row>
    <x:row r="14" ht="26.399999618530273" hidden="0" customHeight="1">
      <x:c r="A14" s="25" t="str">
        <x:v>SHELL-001</x:v>
      </x:c>
      <x:c r="B14" s="25" t="str">
        <x:v>外壳</x:v>
      </x:c>
      <x:c r="C14" s="25" t="str">
        <x:v>规格变化</x:v>
      </x:c>
      <x:c r="D14" s="34" t="n">
        <x:v>15.8</x:v>
      </x:c>
      <x:c r="E14" s="34" t="n">
        <x:v>16.53</x:v>
      </x:c>
      <x:c r="F14" s="34" t="n">
        <x:v>0.73</x:v>
      </x:c>
      <x:c r="G14" s="35" t="n">
        <x:v>0.046</x:v>
      </x:c>
      <x:c r="H14" s="25" t="str">
        <x:v>规格字段变化</x:v>
      </x:c>
      <x:c r="I14" s="25" t="str">
        <x:v>喷涂方案升级导致成本上升</x:v>
      </x:c>
      <x:c r="J14" s="25" t="str">
        <x:v>BU负责人B</x:v>
      </x:c>
      <x:c r="K14" s="25" t="str">
        <x:v>2026-05-07</x:v>
      </x:c>
      <x:c r="L14" s="25" t="str">
        <x:v>已保存</x:v>
      </x:c>
    </x:row>
    <x:row r="15" ht="15" hidden="0" customHeight="1">
      <x:c r="A15" s="25" t="str">
        <x:v>PKG-001</x:v>
      </x:c>
      <x:c r="B15" s="25" t="str">
        <x:v>彩盒彩卡</x:v>
      </x:c>
      <x:c r="C15" s="25" t="str">
        <x:v>单价变化</x:v>
      </x:c>
      <x:c r="D15" s="34" t="n">
        <x:v>5.3</x:v>
      </x:c>
      <x:c r="E15" s="34" t="n">
        <x:v>5.1</x:v>
      </x:c>
      <x:c r="F15" s="34" t="n">
        <x:v>-0.2</x:v>
      </x:c>
      <x:c r="G15" s="35" t="n">
        <x:v>-0.038</x:v>
      </x:c>
      <x:c r="H15" s="25" t="str">
        <x:v>采购单价变化</x:v>
      </x:c>
      <x:c r="I15" s="25" t="str">
        <x:v>商务降本</x:v>
      </x:c>
      <x:c r="J15" s="25" t="str">
        <x:v>财务A</x:v>
      </x:c>
      <x:c r="K15" s="25" t="str">
        <x:v>2026-05-07</x:v>
      </x:c>
      <x:c r="L15" s="25" t="str">
        <x:v>已保存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96" hidden="0" customHeight="1">
      <x:c r="A1" s="6" t="str">
        <x:v>数据模型建议 - 单底表解析后标准化入库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上传是一张底表，数据库仍需标准化拆分，保证可复算和可对比</x:v>
      </x:c>
    </x:row>
    <x:row r="3"/>
    <x:row r="4" ht="15" hidden="0" customHeight="1">
      <x:c r="A4" s="31" t="str">
        <x:v>表/对象</x:v>
      </x:c>
      <x:c r="B4" s="31" t="str">
        <x:v>用途</x:v>
      </x:c>
      <x:c r="C4" s="31" t="str">
        <x:v>关键字段</x:v>
      </x:c>
      <x:c r="D4" s="31" t="str">
        <x:v>说明</x:v>
      </x:c>
      <x:c r="E4" s="31" t="str">
        <x:v>MVP优先级</x:v>
      </x:c>
    </x:row>
    <x:row r="5" ht="52.79999923706055" hidden="0" customHeight="1">
      <x:c r="A5" s="25" t="str">
        <x:v>upload_batch</x:v>
      </x:c>
      <x:c r="B5" s="25" t="str">
        <x:v>保存上传批次和原始文件</x:v>
      </x:c>
      <x:c r="C5" s="25" t="str">
        <x:v>batch_id、sku、file_name、uploader、uploaded_at、parse_status</x:v>
      </x:c>
      <x:c r="D5" s="25" t="str">
        <x:v>支持追溯原始底表</x:v>
      </x:c>
      <x:c r="E5" s="25" t="str">
        <x:v>P0</x:v>
      </x:c>
    </x:row>
    <x:row r="6" ht="26.399999618530273" hidden="0" customHeight="1">
      <x:c r="A6" s="25" t="str">
        <x:v>upload_raw_row</x:v>
      </x:c>
      <x:c r="B6" s="25" t="str">
        <x:v>保存底表原始行</x:v>
      </x:c>
      <x:c r="C6" s="25" t="str">
        <x:v>batch_id、row_no、raw_json</x:v>
      </x:c>
      <x:c r="D6" s="25" t="str">
        <x:v>避免解析错误后无法回溯</x:v>
      </x:c>
      <x:c r="E6" s="25" t="str">
        <x:v>P0</x:v>
      </x:c>
    </x:row>
    <x:row r="7" ht="52.79999923706055" hidden="0" customHeight="1">
      <x:c r="A7" s="25" t="str">
        <x:v>bom_item_snapshot</x:v>
      </x:c>
      <x:c r="B7" s="25" t="str">
        <x:v>保存 BOM 结构快照</x:v>
      </x:c>
      <x:c r="C7" s="25" t="str">
        <x:v>version_id、level、material_code、qty、stage、is_leaf</x:v>
      </x:c>
      <x:c r="D7" s="25" t="str">
        <x:v>一个成本版本一份快照</x:v>
      </x:c>
      <x:c r="E7" s="25" t="str">
        <x:v>P0</x:v>
      </x:c>
    </x:row>
    <x:row r="8" ht="66" hidden="0" customHeight="1">
      <x:c r="A8" s="25" t="str">
        <x:v>price_snapshot</x:v>
      </x:c>
      <x:c r="B8" s="25" t="str">
        <x:v>保存从底表解析出的采购价</x:v>
      </x:c>
      <x:c r="C8" s="25" t="str">
        <x:v>version_id、material_code、purchase_price_tax_included、tax_rate、currency</x:v>
      </x:c>
      <x:c r="D8" s="25" t="str">
        <x:v>暂不使用有效期；币种仅 CNY</x:v>
      </x:c>
      <x:c r="E8" s="25" t="str">
        <x:v>P0</x:v>
      </x:c>
    </x:row>
    <x:row r="9" ht="52.79999923706055" hidden="0" customHeight="1">
      <x:c r="A9" s="25" t="str">
        <x:v>outsourcing_fee_snapshot</x:v>
      </x:c>
      <x:c r="B9" s="25" t="str">
        <x:v>保存从底表解析出的委外费</x:v>
      </x:c>
      <x:c r="C9" s="25" t="str">
        <x:v>version_id、material_code、process、outsourcing_price</x:v>
      </x:c>
      <x:c r="D9" s="25" t="str">
        <x:v>为空按0处理</x:v>
      </x:c>
      <x:c r="E9" s="25" t="str">
        <x:v>P0</x:v>
      </x:c>
    </x:row>
    <x:row r="10" ht="52.79999923706055" hidden="0" customHeight="1">
      <x:c r="A10" s="25" t="str">
        <x:v>cost_version</x:v>
      </x:c>
      <x:c r="B10" s="25" t="str">
        <x:v>成本版本主表</x:v>
      </x:c>
      <x:c r="C10" s="25" t="str">
        <x:v>version_id、sku、status、cost_basis、total_cost、missing_price_count</x:v>
      </x:c>
      <x:c r="D10" s="25" t="str">
        <x:v>状态支持待补价、已核算、已确认、作废</x:v>
      </x:c>
      <x:c r="E10" s="25" t="str">
        <x:v>P0</x:v>
      </x:c>
    </x:row>
    <x:row r="11" ht="66" hidden="0" customHeight="1">
      <x:c r="A11" s="25" t="str">
        <x:v>cost_result</x:v>
      </x:c>
      <x:c r="B11" s="25" t="str">
        <x:v>核算结果快照</x:v>
      </x:c>
      <x:c r="C11" s="25" t="str">
        <x:v>version_id、material_code、tax_in_cost、tax_ex_cost、outsourcing_cost、total_cost</x:v>
      </x:c>
      <x:c r="D11" s="25" t="str">
        <x:v>金额保留2位</x:v>
      </x:c>
      <x:c r="E11" s="25" t="str">
        <x:v>P0</x:v>
      </x:c>
    </x:row>
    <x:row r="12" ht="66" hidden="0" customHeight="1">
      <x:c r="A12" s="25" t="str">
        <x:v>version_diff</x:v>
      </x:c>
      <x:c r="B12" s="25" t="str">
        <x:v>版本差异与原因</x:v>
      </x:c>
      <x:c r="C12" s="25" t="str">
        <x:v>diff_type、amount_diff、ratio_diff、auto_reason、manual_reason、editor、edited_at</x:v>
      </x:c>
      <x:c r="D12" s="25" t="str">
        <x:v>人工原因可保存</x:v>
      </x:c>
      <x:c r="E12" s="25" t="str">
        <x:v>P0</x:v>
      </x:c>
    </x:row>
    <x:row r="13" ht="39.599998474121094" hidden="0" customHeight="1">
      <x:c r="A13" s="25" t="str">
        <x:v>risk_item</x:v>
      </x:c>
      <x:c r="B13" s="25" t="str">
        <x:v>dashboard 风险</x:v>
      </x:c>
      <x:c r="C13" s="25" t="str">
        <x:v>risk_type、material_code、stage、status、impact</x:v>
      </x:c>
      <x:c r="D13" s="25" t="str">
        <x:v>缺价物料和所属工段必须可见</x:v>
      </x:c>
      <x:c r="E13" s="25" t="str">
        <x:v>P0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57.599998474121094" hidden="0" customHeight="1">
      <x:c r="A1" s="6" t="str">
        <x:v>规则与验收口径 - 最新确认版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明确缺价、金额精度、币种、含税/不含税、人工原因保存</x:v>
      </x:c>
    </x:row>
    <x:row r="3"/>
    <x:row r="4" ht="15" hidden="0" customHeight="1">
      <x:c r="A4" s="31" t="str">
        <x:v>规则类别</x:v>
      </x:c>
      <x:c r="B4" s="31" t="str">
        <x:v>规则</x:v>
      </x:c>
      <x:c r="C4" s="31" t="str">
        <x:v>最新口径</x:v>
      </x:c>
      <x:c r="D4" s="31" t="str">
        <x:v>处理方式</x:v>
      </x:c>
      <x:c r="E4" s="31" t="str">
        <x:v>验收标准</x:v>
      </x:c>
    </x:row>
    <x:row r="5" ht="26.399999618530273" hidden="0" customHeight="1">
      <x:c r="A5" s="25" t="str">
        <x:v>上传</x:v>
      </x:c>
      <x:c r="B5" s="25" t="str">
        <x:v>一个文件一个 SKU</x:v>
      </x:c>
      <x:c r="C5" s="25" t="str">
        <x:v>底表内只能出现一个 SKU</x:v>
      </x:c>
      <x:c r="D5" s="25" t="str">
        <x:v>多 SKU 阻断上传</x:v>
      </x:c>
      <x:c r="E5" s="25" t="str">
        <x:v>上传校验能识别并阻断多 SKU</x:v>
      </x:c>
    </x:row>
    <x:row r="6" ht="39.599998474121094" hidden="0" customHeight="1">
      <x:c r="A6" s="25" t="str">
        <x:v>上传</x:v>
      </x:c>
      <x:c r="B6" s="25" t="str">
        <x:v>单底表上传</x:v>
      </x:c>
      <x:c r="C6" s="25" t="str">
        <x:v>BOM、采购价格、委外加工费来自同一底表</x:v>
      </x:c>
      <x:c r="D6" s="25" t="str">
        <x:v>解析后标准化入库</x:v>
      </x:c>
      <x:c r="E6" s="25" t="str">
        <x:v>不再要求用户分三类文件上传</x:v>
      </x:c>
    </x:row>
    <x:row r="7" ht="26.399999618530273" hidden="0" customHeight="1">
      <x:c r="A7" s="25" t="str">
        <x:v>金额</x:v>
      </x:c>
      <x:c r="B7" s="25" t="str">
        <x:v>金额精度</x:v>
      </x:c>
      <x:c r="C7" s="25" t="str">
        <x:v>展示、导出、差异金额均保留2位</x:v>
      </x:c>
      <x:c r="D7" s="25" t="str">
        <x:v>ROUND(...,2)</x:v>
      </x:c>
      <x:c r="E7" s="25" t="str">
        <x:v>明细、汇总、导出一致</x:v>
      </x:c>
    </x:row>
    <x:row r="8" ht="26.399999618530273" hidden="0" customHeight="1">
      <x:c r="A8" s="25" t="str">
        <x:v>价格</x:v>
      </x:c>
      <x:c r="B8" s="25" t="str">
        <x:v>价格有效期</x:v>
      </x:c>
      <x:c r="C8" s="25" t="str">
        <x:v>暂不考虑</x:v>
      </x:c>
      <x:c r="D8" s="25" t="str">
        <x:v>不使用生效/失效日期做匹配</x:v>
      </x:c>
      <x:c r="E8" s="25" t="str">
        <x:v>系统中不出现有效期筛选</x:v>
      </x:c>
    </x:row>
    <x:row r="9" ht="39.599998474121094" hidden="0" customHeight="1">
      <x:c r="A9" s="25" t="str">
        <x:v>价格</x:v>
      </x:c>
      <x:c r="B9" s="25" t="str">
        <x:v>价格缺失</x:v>
      </x:c>
      <x:c r="C9" s="25" t="str">
        <x:v>允许底表先入库，阻断成本版本确认/发布</x:v>
      </x:c>
      <x:c r="D9" s="25" t="str">
        <x:v>生成风险项并展示缺价物料和所属工段</x:v>
      </x:c>
      <x:c r="E9" s="25" t="str">
        <x:v>dashboard 可直接看到缺价风险清单</x:v>
      </x:c>
    </x:row>
    <x:row r="10" ht="26.399999618530273" hidden="0" customHeight="1">
      <x:c r="A10" s="25" t="str">
        <x:v>币种</x:v>
      </x:c>
      <x:c r="B10" s="25" t="str">
        <x:v>币种范围</x:v>
      </x:c>
      <x:c r="C10" s="25" t="str">
        <x:v>仅人民币 CNY</x:v>
      </x:c>
      <x:c r="D10" s="25" t="str">
        <x:v>非 CNY 阻断或提示不支持</x:v>
      </x:c>
      <x:c r="E10" s="25" t="str">
        <x:v>上传校验有币种检查</x:v>
      </x:c>
    </x:row>
    <x:row r="11" ht="39.599998474121094" hidden="0" customHeight="1">
      <x:c r="A11" s="25" t="str">
        <x:v>成本口径</x:v>
      </x:c>
      <x:c r="B11" s="25" t="str">
        <x:v>含税/不含税</x:v>
      </x:c>
      <x:c r="C11" s="25" t="str">
        <x:v>支持选择展示口径</x:v>
      </x:c>
      <x:c r="D11" s="25" t="str">
        <x:v>含税价入库，不含税=含税价/(1+税率)</x:v>
      </x:c>
      <x:c r="E11" s="25" t="str">
        <x:v>看板和导出均带口径字段</x:v>
      </x:c>
    </x:row>
    <x:row r="12" ht="26.399999618530273" hidden="0" customHeight="1">
      <x:c r="A12" s="25" t="str">
        <x:v>差异原因</x:v>
      </x:c>
      <x:c r="B12" s="25" t="str">
        <x:v>人工修订</x:v>
      </x:c>
      <x:c r="C12" s="25" t="str">
        <x:v>允许人工修订并保存</x:v>
      </x:c>
      <x:c r="D12" s="25" t="str">
        <x:v>保存修订原因、修订人、修订时间</x:v>
      </x:c>
      <x:c r="E12" s="25" t="str">
        <x:v>刷新后人工原因仍保留</x:v>
      </x:c>
    </x:row>
    <x:row r="13" ht="26.399999618530273" hidden="0" customHeight="1">
      <x:c r="A13" s="25" t="str">
        <x:v>复算</x:v>
      </x:c>
      <x:c r="B13" s="25" t="str">
        <x:v>可复算</x:v>
      </x:c>
      <x:c r="C13" s="25" t="str">
        <x:v>基于版本快照复算</x:v>
      </x:c>
      <x:c r="D13" s="25" t="str">
        <x:v>不依赖后续上传文件变化</x:v>
      </x:c>
      <x:c r="E13" s="25" t="str">
        <x:v>历史版本复算结果一致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76.80000305175781" hidden="0" customHeight="1">
      <x:c r="A1" s="6" t="str">
        <x:v>MVP开发拆分 - 单底表上传版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10" t="str">
        <x:v>按最新确认口径调整开发任务</x:v>
      </x:c>
    </x:row>
    <x:row r="3"/>
    <x:row r="4" ht="15" hidden="0" customHeight="1">
      <x:c r="A4" s="31" t="str">
        <x:v>迭代</x:v>
      </x:c>
      <x:c r="B4" s="31" t="str">
        <x:v>模块</x:v>
      </x:c>
      <x:c r="C4" s="31" t="str">
        <x:v>开发任务</x:v>
      </x:c>
      <x:c r="D4" s="31" t="str">
        <x:v>关键产物</x:v>
      </x:c>
      <x:c r="E4" s="31" t="str">
        <x:v>优先级</x:v>
      </x:c>
    </x:row>
    <x:row r="5" ht="79.19999694824219" hidden="0" customHeight="1">
      <x:c r="A5" s="25" t="str">
        <x:v>Sprint 1</x:v>
      </x:c>
      <x:c r="B5" s="25" t="str">
        <x:v>数据模型</x:v>
      </x:c>
      <x:c r="C5" s="25" t="str">
        <x:v>建立上传批次、原始行、BOM快照、价格快照、委外快照、成本版本、核算结果、差异、风险表</x:v>
      </x:c>
      <x:c r="D5" s="25" t="str">
        <x:v>数据库迁移脚本</x:v>
      </x:c>
      <x:c r="E5" s="25" t="str">
        <x:v>P0</x:v>
      </x:c>
    </x:row>
    <x:row r="6" ht="66" hidden="0" customHeight="1">
      <x:c r="A6" s="25" t="str">
        <x:v>Sprint 1</x:v>
      </x:c>
      <x:c r="B6" s="25" t="str">
        <x:v>底表上传</x:v>
      </x:c>
      <x:c r="C6" s="25" t="str">
        <x:v>解析 example-v2 类似模板，做字段映射、单 SKU 校验、金额/币种/缺价校验</x:v>
      </x:c>
      <x:c r="D6" s="25" t="str">
        <x:v>上传 API、解析报告</x:v>
      </x:c>
      <x:c r="E6" s="25" t="str">
        <x:v>P0</x:v>
      </x:c>
    </x:row>
    <x:row r="7" ht="52.79999923706055" hidden="0" customHeight="1">
      <x:c r="A7" s="25" t="str">
        <x:v>Sprint 2</x:v>
      </x:c>
      <x:c r="B7" s="25" t="str">
        <x:v>核算引擎</x:v>
      </x:c>
      <x:c r="C7" s="25" t="str">
        <x:v>按末级物料核算含税、不含税、委外和总成本，金额2位</x:v>
      </x:c>
      <x:c r="D7" s="25" t="str">
        <x:v>核算服务、单元测试</x:v>
      </x:c>
      <x:c r="E7" s="25" t="str">
        <x:v>P0</x:v>
      </x:c>
    </x:row>
    <x:row r="8" ht="52.79999923706055" hidden="0" customHeight="1">
      <x:c r="A8" s="25" t="str">
        <x:v>Sprint 2</x:v>
      </x:c>
      <x:c r="B8" s="25" t="str">
        <x:v>风险中心</x:v>
      </x:c>
      <x:c r="C8" s="25" t="str">
        <x:v>生成缺价风险项，dashboard 展示缺价物料和所属工段</x:v>
      </x:c>
      <x:c r="D8" s="25" t="str">
        <x:v>风险 API、风险组件</x:v>
      </x:c>
      <x:c r="E8" s="25" t="str">
        <x:v>P0</x:v>
      </x:c>
    </x:row>
    <x:row r="9" ht="39.599998474121094" hidden="0" customHeight="1">
      <x:c r="A9" s="25" t="str">
        <x:v>Sprint 3</x:v>
      </x:c>
      <x:c r="B9" s="25" t="str">
        <x:v>版本对比</x:v>
      </x:c>
      <x:c r="C9" s="25" t="str">
        <x:v>自动差异识别、差异金额比例计算、人工原因保存</x:v>
      </x:c>
      <x:c r="D9" s="25" t="str">
        <x:v>版本对比页面/API</x:v>
      </x:c>
      <x:c r="E9" s="25" t="str">
        <x:v>P0</x:v>
      </x:c>
    </x:row>
    <x:row r="10" ht="52.79999923706055" hidden="0" customHeight="1">
      <x:c r="A10" s="25" t="str">
        <x:v>Sprint 3</x:v>
      </x:c>
      <x:c r="B10" s="25" t="str">
        <x:v>看板与导出</x:v>
      </x:c>
      <x:c r="C10" s="25" t="str">
        <x:v>筛选、成本口径切换、KPI、工段汇总、风险清单、Excel导出</x:v>
      </x:c>
      <x:c r="D10" s="25" t="str">
        <x:v>看板页面、导出模板</x:v>
      </x:c>
      <x:c r="E10" s="25" t="str">
        <x:v>P0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L1"/>
    <x:mergeCell ref="A2:L2"/>
  </x:mergeCells>
  <x:pageMargins left="0.7" right="0.7" top="0.75" bottom="0.75" header="0.3" footer="0.3"/>
</x:worksheet>
</file>